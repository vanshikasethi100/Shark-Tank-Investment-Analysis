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EEC8824-187D-4E4E-AA42-888E5774D640}" xr6:coauthVersionLast="47" xr6:coauthVersionMax="47" xr10:uidLastSave="{00000000-0000-0000-0000-000000000000}"/>
  <bookViews>
    <workbookView xWindow="-108" yWindow="-108" windowWidth="23256" windowHeight="12456" xr2:uid="{962831B0-9EE8-49EA-AC99-189A18B983AB}"/>
  </bookViews>
  <sheets>
    <sheet name="shark_tank (2)" sheetId="2" r:id="rId1"/>
    <sheet name="shark_tank (1)" sheetId="1" r:id="rId2"/>
  </sheets>
  <definedNames>
    <definedName name="ExternalData_1" localSheetId="0" hidden="1">'shark_tank (2)'!$A$1:$BL$291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2" l="1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3" i="2"/>
  <c r="V5" i="1"/>
  <c r="U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210C2A-594A-456C-BE46-0D2C9F08E7CD}" keepAlive="1" name="Query - shark_tank (1)" description="Connection to the 'shark_tank (1)' query in the workbook." type="5" refreshedVersion="8" background="1" saveData="1">
    <dbPr connection="Provider=Microsoft.Mashup.OleDb.1;Data Source=$Workbook$;Location=&quot;shark_tank (1)&quot;;Extended Properties=&quot;&quot;" command="SELECT * FROM [shark_tank (1)]"/>
  </connection>
</connections>
</file>

<file path=xl/sharedStrings.xml><?xml version="1.0" encoding="utf-8"?>
<sst xmlns="http://schemas.openxmlformats.org/spreadsheetml/2006/main" count="5322" uniqueCount="1498">
  <si>
    <t>Season Number</t>
  </si>
  <si>
    <t>Season Start</t>
  </si>
  <si>
    <t>Season End</t>
  </si>
  <si>
    <t>Episode Number</t>
  </si>
  <si>
    <t>Episode Title</t>
  </si>
  <si>
    <t>Pitch Number</t>
  </si>
  <si>
    <t>Startup Name</t>
  </si>
  <si>
    <t>Industry</t>
  </si>
  <si>
    <t>Business Description</t>
  </si>
  <si>
    <t>Company Website</t>
  </si>
  <si>
    <t>Number of Presenters</t>
  </si>
  <si>
    <t>Male Presenters</t>
  </si>
  <si>
    <t>Female Presenters</t>
  </si>
  <si>
    <t>Transgender Presenters</t>
  </si>
  <si>
    <t>Couple Presenters</t>
  </si>
  <si>
    <t>Pitchers Average Age</t>
  </si>
  <si>
    <t>Started in</t>
  </si>
  <si>
    <t>Pitchers City</t>
  </si>
  <si>
    <t>Pitchers State</t>
  </si>
  <si>
    <t>Yearly Revenue</t>
  </si>
  <si>
    <t>Monthly Sales</t>
  </si>
  <si>
    <t>Gross Margin</t>
  </si>
  <si>
    <t>Net Margin</t>
  </si>
  <si>
    <t>Original Ask Amount</t>
  </si>
  <si>
    <t>Original Offered Equity</t>
  </si>
  <si>
    <t>Valuation Requested</t>
  </si>
  <si>
    <t>Received Offer</t>
  </si>
  <si>
    <t>Accepted Offer</t>
  </si>
  <si>
    <t>Total Deal Amount</t>
  </si>
  <si>
    <t>Total Deal Equity</t>
  </si>
  <si>
    <t>Total Deal Debt</t>
  </si>
  <si>
    <t>Debt Interest</t>
  </si>
  <si>
    <t>Deal Valuation</t>
  </si>
  <si>
    <t>Number of sharks in deal</t>
  </si>
  <si>
    <t>Deal has conditions</t>
  </si>
  <si>
    <t>Has Patents</t>
  </si>
  <si>
    <t>Ashneer Investment Amount</t>
  </si>
  <si>
    <t>Ashneer Investment Equity</t>
  </si>
  <si>
    <t>Ashneer Debt Amount</t>
  </si>
  <si>
    <t>Namita Investment Amount</t>
  </si>
  <si>
    <t>Namita Investment Equity</t>
  </si>
  <si>
    <t>Namita Debt Amount</t>
  </si>
  <si>
    <t>Anupam Investment Amount</t>
  </si>
  <si>
    <t>Anupam Investment Equity</t>
  </si>
  <si>
    <t>Anupam Debt Amount</t>
  </si>
  <si>
    <t>Vineeta Investment Amount</t>
  </si>
  <si>
    <t>Vineeta Investment Equity</t>
  </si>
  <si>
    <t>Vineeta Debt Amount</t>
  </si>
  <si>
    <t>Aman Investment Amount</t>
  </si>
  <si>
    <t>Aman Investment Equity</t>
  </si>
  <si>
    <t>Aman Debt Amount</t>
  </si>
  <si>
    <t>Peyush Investment Amount</t>
  </si>
  <si>
    <t>Peyush Investment Equity</t>
  </si>
  <si>
    <t>Peyush Debt Amount</t>
  </si>
  <si>
    <t>Ghazal Investment Amount</t>
  </si>
  <si>
    <t>Ghazal Investment Equity</t>
  </si>
  <si>
    <t>Ghazal Debt Amount</t>
  </si>
  <si>
    <t>Amit Investment Amount</t>
  </si>
  <si>
    <t>Amit Investment Equity</t>
  </si>
  <si>
    <t>Amit Debt Amount</t>
  </si>
  <si>
    <t>Guest Investment Amount</t>
  </si>
  <si>
    <t>Guest Investment Equity</t>
  </si>
  <si>
    <t>Guest Debt Amount</t>
  </si>
  <si>
    <t>Guest Name</t>
  </si>
  <si>
    <t>Badlegi Business Ki Tasveer</t>
  </si>
  <si>
    <t>BluePineFoods</t>
  </si>
  <si>
    <t>Food</t>
  </si>
  <si>
    <t>Frozen Momos</t>
  </si>
  <si>
    <t>https://bluepinefoods.com/</t>
  </si>
  <si>
    <t>Middle</t>
  </si>
  <si>
    <t>Delhi</t>
  </si>
  <si>
    <t>BoozScooters</t>
  </si>
  <si>
    <t>Vehicles/Electrical Vehicles</t>
  </si>
  <si>
    <t>Renting e-bike for mobility in private spaces</t>
  </si>
  <si>
    <t>https://www.boozup.net/</t>
  </si>
  <si>
    <t>Young</t>
  </si>
  <si>
    <t>Ahmedabad</t>
  </si>
  <si>
    <t>Gujarat</t>
  </si>
  <si>
    <t>HeartUpMySleeves</t>
  </si>
  <si>
    <t>Beauty/Fashion</t>
  </si>
  <si>
    <t>Detachable Sleeves</t>
  </si>
  <si>
    <t>https://heartupmysleeves.com/</t>
  </si>
  <si>
    <t>Insaan, Ideas Aur Sapne</t>
  </si>
  <si>
    <t>TagzFoods</t>
  </si>
  <si>
    <t>Healthy Potato Chips Snacks</t>
  </si>
  <si>
    <t>https://tagzfoods.com/</t>
  </si>
  <si>
    <t>Bangalore</t>
  </si>
  <si>
    <t>Karnataka</t>
  </si>
  <si>
    <t>HeadAndHeart</t>
  </si>
  <si>
    <t>Education</t>
  </si>
  <si>
    <t>Brain Development Course</t>
  </si>
  <si>
    <t>https://thehnh.in/</t>
  </si>
  <si>
    <t>Patiala</t>
  </si>
  <si>
    <t>Punjab</t>
  </si>
  <si>
    <t>Agritourism</t>
  </si>
  <si>
    <t>Agriculture</t>
  </si>
  <si>
    <t>Tourism</t>
  </si>
  <si>
    <t>https://www.agritourism.in/</t>
  </si>
  <si>
    <t>Baramati</t>
  </si>
  <si>
    <t>Maharashtra</t>
  </si>
  <si>
    <t>Aam Aadmi Ke Business Ideas</t>
  </si>
  <si>
    <t>qZenseLabs</t>
  </si>
  <si>
    <t>Food Freshness Detector</t>
  </si>
  <si>
    <t>https://www.qzense.com/</t>
  </si>
  <si>
    <t>Delhi,Mohali</t>
  </si>
  <si>
    <t>Delhi,Punjab</t>
  </si>
  <si>
    <t>Peeschute</t>
  </si>
  <si>
    <t>Disposable Urine Bag</t>
  </si>
  <si>
    <t>https://www.peeschute.com/</t>
  </si>
  <si>
    <t>Jalna</t>
  </si>
  <si>
    <t>NOCD</t>
  </si>
  <si>
    <t>Energy Drink</t>
  </si>
  <si>
    <t>https://www.jouleshealth.com/</t>
  </si>
  <si>
    <t>Entrepreneurship Ki Wave</t>
  </si>
  <si>
    <t>CosIQ</t>
  </si>
  <si>
    <t>Intelligent Skincare</t>
  </si>
  <si>
    <t>https://mycosiq.com/</t>
  </si>
  <si>
    <t>JhaJiAchaar</t>
  </si>
  <si>
    <t>Pickle</t>
  </si>
  <si>
    <t>https://www.jhajistore.com/</t>
  </si>
  <si>
    <t>Old</t>
  </si>
  <si>
    <t>Darbhanga</t>
  </si>
  <si>
    <t>Bihar</t>
  </si>
  <si>
    <t>Bummer</t>
  </si>
  <si>
    <t>Underwear</t>
  </si>
  <si>
    <t>https://bummer.in/</t>
  </si>
  <si>
    <t>Hunt For Interesting Business</t>
  </si>
  <si>
    <t>RevampMoto</t>
  </si>
  <si>
    <t>E-Bike Mitra bud-e RM</t>
  </si>
  <si>
    <t>https://www.revampmoto.in/</t>
  </si>
  <si>
    <t>Nashik</t>
  </si>
  <si>
    <t>HungryHead</t>
  </si>
  <si>
    <t>Restaurant serving 80 types of Maggi</t>
  </si>
  <si>
    <t>http://www.hungryhead.co.in/</t>
  </si>
  <si>
    <t>Mumbai</t>
  </si>
  <si>
    <t>ShrawaniEngineers</t>
  </si>
  <si>
    <t>Belly Button Shaper</t>
  </si>
  <si>
    <t>https://www.shrawaniengineers.com/</t>
  </si>
  <si>
    <t>Nagpur</t>
  </si>
  <si>
    <t>New Week, New Ideas</t>
  </si>
  <si>
    <t>SkippiIcePops</t>
  </si>
  <si>
    <t>Ice-Pops</t>
  </si>
  <si>
    <t>https://skippi.in/</t>
  </si>
  <si>
    <t>Hyderabad</t>
  </si>
  <si>
    <t>Telangana</t>
  </si>
  <si>
    <t>Menstrupedia</t>
  </si>
  <si>
    <t>Menstrual Awareness Comic</t>
  </si>
  <si>
    <t>https://www.menstrupedia.com/</t>
  </si>
  <si>
    <t>Hecoll</t>
  </si>
  <si>
    <t>Pollution Resistant Fabric - Healthy Cover For All</t>
  </si>
  <si>
    <t>https://hecoll.com/</t>
  </si>
  <si>
    <t>A Never Give Up Spirit</t>
  </si>
  <si>
    <t>RaisingSuperstars</t>
  </si>
  <si>
    <t>Child Development App</t>
  </si>
  <si>
    <t>https://raisingsuperstars.com/india-page</t>
  </si>
  <si>
    <t>Gurgaon</t>
  </si>
  <si>
    <t>Haryana</t>
  </si>
  <si>
    <t>Torch-it</t>
  </si>
  <si>
    <t>Gadgets for visually impaired people</t>
  </si>
  <si>
    <t>https://mytorchit.com/</t>
  </si>
  <si>
    <t>Kavach</t>
  </si>
  <si>
    <t>Report bullying incidents</t>
  </si>
  <si>
    <t>LaKheerDeli</t>
  </si>
  <si>
    <t>Kheer in variety of flavors</t>
  </si>
  <si>
    <t>https://lakheerdeli.com/</t>
  </si>
  <si>
    <t>Pune</t>
  </si>
  <si>
    <t>Shark Ko Impress Karne Wale Ideas</t>
  </si>
  <si>
    <t>BeyondSnack</t>
  </si>
  <si>
    <t>Kerala Banana Chips</t>
  </si>
  <si>
    <t>https://www.beyondsnack.in/</t>
  </si>
  <si>
    <t>Thiruvananthapuram</t>
  </si>
  <si>
    <t>Kerala</t>
  </si>
  <si>
    <t>VivalyfInnovations</t>
  </si>
  <si>
    <t>Medical/Health</t>
  </si>
  <si>
    <t>Easy Life Prickless Diabetes Testing Machine</t>
  </si>
  <si>
    <t>https://vivalyf.in/</t>
  </si>
  <si>
    <t>MotionBreeze</t>
  </si>
  <si>
    <t>Smart Electric Motorcycle</t>
  </si>
  <si>
    <t>https://www.motionautomotive.in/</t>
  </si>
  <si>
    <t>Vadodara</t>
  </si>
  <si>
    <t>Defining Innovations</t>
  </si>
  <si>
    <t>Altor</t>
  </si>
  <si>
    <t>Manufacturing</t>
  </si>
  <si>
    <t>Smart Helmets</t>
  </si>
  <si>
    <t>https://www.altorsmarthelmet.com/</t>
  </si>
  <si>
    <t>Kolkata</t>
  </si>
  <si>
    <t>West Bengal</t>
  </si>
  <si>
    <t>Ariro</t>
  </si>
  <si>
    <t>Wooden Toys</t>
  </si>
  <si>
    <t>https://arirotoys.com/</t>
  </si>
  <si>
    <t>Chennai</t>
  </si>
  <si>
    <t>Tamil Nadu</t>
  </si>
  <si>
    <t>KabiraHandmad</t>
  </si>
  <si>
    <t>Healthy Edible Oils dairy products spices flour</t>
  </si>
  <si>
    <t>https://www.kabirafoods.com/</t>
  </si>
  <si>
    <t>Jaipur</t>
  </si>
  <si>
    <t>Rajasthan</t>
  </si>
  <si>
    <t>Passion About Entrepreneurship</t>
  </si>
  <si>
    <t>Nuutjob</t>
  </si>
  <si>
    <t>Male Intimate Hygiene deo spray</t>
  </si>
  <si>
    <t>https://nuutjob.com/</t>
  </si>
  <si>
    <t>Meatyour</t>
  </si>
  <si>
    <t>Eggs</t>
  </si>
  <si>
    <t>https://meatyour.com/</t>
  </si>
  <si>
    <t>EventBeep</t>
  </si>
  <si>
    <t>Student Community App EdTech</t>
  </si>
  <si>
    <t>https://www.eventbeep.com/</t>
  </si>
  <si>
    <t>Investment Paane Ka Sapna</t>
  </si>
  <si>
    <t>Gopal's56</t>
  </si>
  <si>
    <t>Fiber Ice Cream</t>
  </si>
  <si>
    <t>https://www.gopals56.in/</t>
  </si>
  <si>
    <t>ARRCOATSurfaceTextures</t>
  </si>
  <si>
    <t>Wall Building Surface Textures</t>
  </si>
  <si>
    <t>https://www.arrcoat.com/</t>
  </si>
  <si>
    <t>Farda</t>
  </si>
  <si>
    <t>Customised Streetwear</t>
  </si>
  <si>
    <t>https://fardaclothing.com/</t>
  </si>
  <si>
    <t>Ek Idea Aur Uske Do Sides</t>
  </si>
  <si>
    <t>Auli</t>
  </si>
  <si>
    <t>Ayurvedic Products Skincare Lifestyle</t>
  </si>
  <si>
    <t>https://aulilifestyle.com/</t>
  </si>
  <si>
    <t>SweeDesi</t>
  </si>
  <si>
    <t>Indian Sweets Online</t>
  </si>
  <si>
    <t>https://www.sweedesi.com/</t>
  </si>
  <si>
    <t>LOKA</t>
  </si>
  <si>
    <t>Technology/Software</t>
  </si>
  <si>
    <t>Metaverse App</t>
  </si>
  <si>
    <t>https://www.lokaworld.app/</t>
  </si>
  <si>
    <t>Ideas By Young Entrepreneurs</t>
  </si>
  <si>
    <t>Annie</t>
  </si>
  <si>
    <t>Thinkerbell labs Braille Literary Device</t>
  </si>
  <si>
    <t>https://www.thinkerbelllabs.com/annie</t>
  </si>
  <si>
    <t>Carragreen</t>
  </si>
  <si>
    <t>Eco-Friendly boxes</t>
  </si>
  <si>
    <t>https://carragreen.com/</t>
  </si>
  <si>
    <t>Indore</t>
  </si>
  <si>
    <t>Madhya Pradesh</t>
  </si>
  <si>
    <t>TheYarnBazaar</t>
  </si>
  <si>
    <t>Yarn-Trading App Online Marketplace for Yarn</t>
  </si>
  <si>
    <t>https://theyarnbazaar.com/</t>
  </si>
  <si>
    <t>Naye Aur Nayab Pitchers</t>
  </si>
  <si>
    <t>TheRenalProject</t>
  </si>
  <si>
    <t>Home Dialysis Treatment</t>
  </si>
  <si>
    <t>https://www.therenalproject.com/</t>
  </si>
  <si>
    <t>MorrikoPureFoods</t>
  </si>
  <si>
    <t>Healthy Food Snacks Kamdhenu foods</t>
  </si>
  <si>
    <t>https://morrikopurefoods.com/</t>
  </si>
  <si>
    <t>Valsad</t>
  </si>
  <si>
    <t>GoodGoodPiggy</t>
  </si>
  <si>
    <t>Digital Piggy Bank</t>
  </si>
  <si>
    <t>https://goodgoodpiggy.com/</t>
  </si>
  <si>
    <t>It's Time To Change</t>
  </si>
  <si>
    <t>HammerLifestyle</t>
  </si>
  <si>
    <t>Electronics</t>
  </si>
  <si>
    <t>Smart Audio Products</t>
  </si>
  <si>
    <t>https://hammeronline.in/</t>
  </si>
  <si>
    <t>Panipat</t>
  </si>
  <si>
    <t>PNT</t>
  </si>
  <si>
    <t>Robotics and Automation Solutions</t>
  </si>
  <si>
    <t>https://pntsolutions.in/</t>
  </si>
  <si>
    <t>Cocofit</t>
  </si>
  <si>
    <t>Coconut based beverage franchise</t>
  </si>
  <si>
    <t>https://www.cocofit.in/</t>
  </si>
  <si>
    <t>Winning The Sharks Trust</t>
  </si>
  <si>
    <t>BambooIndia</t>
  </si>
  <si>
    <t>Bamboo Products</t>
  </si>
  <si>
    <t>https://www.bambooindia.com/</t>
  </si>
  <si>
    <t>FlyingFur</t>
  </si>
  <si>
    <t>Animal/Pets</t>
  </si>
  <si>
    <t>Dog pets Hygiene</t>
  </si>
  <si>
    <t>https://flyingfur.in/</t>
  </si>
  <si>
    <t>BeyondWater</t>
  </si>
  <si>
    <t>Liquid Water Enhancer</t>
  </si>
  <si>
    <t>https://drinkbeyond.co.in/</t>
  </si>
  <si>
    <t>Let'sTry</t>
  </si>
  <si>
    <t>Healthy Snacks</t>
  </si>
  <si>
    <t>https://www.letstryfoods.com/</t>
  </si>
  <si>
    <t>A Wave Of Startups</t>
  </si>
  <si>
    <t>FindYourKicksIndia</t>
  </si>
  <si>
    <t>Sneaker Resale</t>
  </si>
  <si>
    <t>https://findyourkicksindia.co/</t>
  </si>
  <si>
    <t>Ludhiana</t>
  </si>
  <si>
    <t>AasVidyalaya</t>
  </si>
  <si>
    <t>EdTech App</t>
  </si>
  <si>
    <t>https://www.aasvidyalaya.com/</t>
  </si>
  <si>
    <t>Outbox</t>
  </si>
  <si>
    <t>Services</t>
  </si>
  <si>
    <t>Premium Surprise-Planning</t>
  </si>
  <si>
    <t>https://www.outboxsurprises.com/</t>
  </si>
  <si>
    <t>RoadBounce</t>
  </si>
  <si>
    <t>Pothole Detection Software and Data</t>
  </si>
  <si>
    <t>https://www.roadbounce.com/</t>
  </si>
  <si>
    <t>Investing In Profitable Businesses</t>
  </si>
  <si>
    <t>Mommy'sKitchen</t>
  </si>
  <si>
    <t>Thin Crust Pizza</t>
  </si>
  <si>
    <t>https://mommys.kitchen/</t>
  </si>
  <si>
    <t>IndiaHempandCo</t>
  </si>
  <si>
    <t>Hemp Food Products</t>
  </si>
  <si>
    <t>https://www.indiahempandco.com/</t>
  </si>
  <si>
    <t>Otua</t>
  </si>
  <si>
    <t>Electric Auto Vehicle Dandera</t>
  </si>
  <si>
    <t>https://www.danderaelectric.com/</t>
  </si>
  <si>
    <t>Anthyesti</t>
  </si>
  <si>
    <t>Funeral Service the last rites</t>
  </si>
  <si>
    <t>https://anthyesti.com/</t>
  </si>
  <si>
    <t>Forming An Idea And Bagging A Deal</t>
  </si>
  <si>
    <t>Ethik</t>
  </si>
  <si>
    <t>Leather-free Shoes</t>
  </si>
  <si>
    <t>https://www.ethik.in/</t>
  </si>
  <si>
    <t>WeSTOCK</t>
  </si>
  <si>
    <t>Brainwired Livestock health monitoring AI pets ear tag</t>
  </si>
  <si>
    <t>https://www.brainwired.in/</t>
  </si>
  <si>
    <t>Ernakulam</t>
  </si>
  <si>
    <t>KetoIndia</t>
  </si>
  <si>
    <t>Customised Keto Diets for various Medical/Health issues</t>
  </si>
  <si>
    <t>https://www.ketoindia.fit/</t>
  </si>
  <si>
    <t>Magiclock</t>
  </si>
  <si>
    <t>Hardware</t>
  </si>
  <si>
    <t>LPG Cylinder lock</t>
  </si>
  <si>
    <t>http://www.magiclockdc.com/</t>
  </si>
  <si>
    <t>A Variety Of Ideas</t>
  </si>
  <si>
    <t>TheStatePlate</t>
  </si>
  <si>
    <t>Delicacies</t>
  </si>
  <si>
    <t>https://thestateplate.com/</t>
  </si>
  <si>
    <t>Bangalore,Kolkata</t>
  </si>
  <si>
    <t>Karnataka,West Bengal</t>
  </si>
  <si>
    <t>Bakarmax</t>
  </si>
  <si>
    <t>Comics &amp; Animation</t>
  </si>
  <si>
    <t>https://bakarmax.com/</t>
  </si>
  <si>
    <t>INACAN</t>
  </si>
  <si>
    <t>Can Cocktails</t>
  </si>
  <si>
    <t>https://inacan.in/</t>
  </si>
  <si>
    <t>Game-changing Ideas</t>
  </si>
  <si>
    <t>Get-A-Whey</t>
  </si>
  <si>
    <t>Sugar-Free Icecream</t>
  </si>
  <si>
    <t>https://getawhey.in/</t>
  </si>
  <si>
    <t>Sid07Designs</t>
  </si>
  <si>
    <t>Inventions</t>
  </si>
  <si>
    <t>https://sid07designs.com/</t>
  </si>
  <si>
    <t>Jammu</t>
  </si>
  <si>
    <t>Jammu &amp; Kashmir</t>
  </si>
  <si>
    <t>TheQuirkyNaari</t>
  </si>
  <si>
    <t>Customised Apparels</t>
  </si>
  <si>
    <t>https://thequirkynaari.com/</t>
  </si>
  <si>
    <t>Mathura</t>
  </si>
  <si>
    <t>Uttar Pradesh</t>
  </si>
  <si>
    <t>Turning Ideas Into Businesses</t>
  </si>
  <si>
    <t>HairOriginals</t>
  </si>
  <si>
    <t>Natural Hair Extensions</t>
  </si>
  <si>
    <t>https://www.hairoriginals.in/</t>
  </si>
  <si>
    <t>Poo-de-Cologne</t>
  </si>
  <si>
    <t>Toilet Spray with Essential Oils</t>
  </si>
  <si>
    <t>https://www.poodecologne.com/</t>
  </si>
  <si>
    <t>Moonshine</t>
  </si>
  <si>
    <t>Meads</t>
  </si>
  <si>
    <t>https://www.moonshinemeadery.com/</t>
  </si>
  <si>
    <t>Falhari</t>
  </si>
  <si>
    <t>Fresh Fruits salads</t>
  </si>
  <si>
    <t>https://falhari.com/</t>
  </si>
  <si>
    <t>Investing In Innovation</t>
  </si>
  <si>
    <t>NamhyaFoods</t>
  </si>
  <si>
    <t>Ayurvedic Enriched Food</t>
  </si>
  <si>
    <t>https://namhyafoods.com/</t>
  </si>
  <si>
    <t>UrbanMonkey</t>
  </si>
  <si>
    <t>Streetwear</t>
  </si>
  <si>
    <t>https://www.urbanmonkey.com/</t>
  </si>
  <si>
    <t>GuardianGears</t>
  </si>
  <si>
    <t>Motorcycle Luggage bags</t>
  </si>
  <si>
    <t>https://guardiangears.in/</t>
  </si>
  <si>
    <t>ModernMyth</t>
  </si>
  <si>
    <t>Bags Slings Clutches Handbags Totes Laptop Bags Travel Essentials Pouches Trunks &amp; Gifting</t>
  </si>
  <si>
    <t>https://www.modernmyth.in/</t>
  </si>
  <si>
    <t>A Decade Of Indian Entrepreneurship</t>
  </si>
  <si>
    <t>TheSassBar</t>
  </si>
  <si>
    <t>Gifts Soaps</t>
  </si>
  <si>
    <t>https://www.thesassbar.com/</t>
  </si>
  <si>
    <t>KGAgrotech</t>
  </si>
  <si>
    <t>Agricultural Innovations</t>
  </si>
  <si>
    <t>Malegaon</t>
  </si>
  <si>
    <t>NuskhaKitchen</t>
  </si>
  <si>
    <t>Homemade after delivery Foods</t>
  </si>
  <si>
    <t>https://nuskhakitchen.com/</t>
  </si>
  <si>
    <t>An Ocean Of Opportunities</t>
  </si>
  <si>
    <t>PawsIndia</t>
  </si>
  <si>
    <t>Dog Products</t>
  </si>
  <si>
    <t>https://pawsindia.com/</t>
  </si>
  <si>
    <t>SunfoxTechnologies</t>
  </si>
  <si>
    <t>Portable ECG Device</t>
  </si>
  <si>
    <t>https://www.sunfox.in/</t>
  </si>
  <si>
    <t>Dehradun</t>
  </si>
  <si>
    <t>Uttarakhand</t>
  </si>
  <si>
    <t>Alpino</t>
  </si>
  <si>
    <t>Roasted Peanut butter Products</t>
  </si>
  <si>
    <t>https://alpino.store/</t>
  </si>
  <si>
    <t>Surat</t>
  </si>
  <si>
    <t>Revolutionary Ideas</t>
  </si>
  <si>
    <t>IsakFragrances</t>
  </si>
  <si>
    <t>Perfumes Fragrances</t>
  </si>
  <si>
    <t>https://isakfragrances.com/</t>
  </si>
  <si>
    <t>Lucknow</t>
  </si>
  <si>
    <t>JulaaAutomation</t>
  </si>
  <si>
    <t>Automatic Cradle</t>
  </si>
  <si>
    <t>https://www.automaticjulaa.com/</t>
  </si>
  <si>
    <t>RarePlanet</t>
  </si>
  <si>
    <t>Handicrafts</t>
  </si>
  <si>
    <t>https://rareplanet.in/</t>
  </si>
  <si>
    <t>Investing In The Future Of India</t>
  </si>
  <si>
    <t>ThekaCoffee</t>
  </si>
  <si>
    <t>Coffee Products</t>
  </si>
  <si>
    <t>https://thekacoffee.com/</t>
  </si>
  <si>
    <t>Gandhinagar</t>
  </si>
  <si>
    <t>WattTechnovations</t>
  </si>
  <si>
    <t>Ventilated PPE Kits</t>
  </si>
  <si>
    <t>https://www.watttechnovations.com/</t>
  </si>
  <si>
    <t>AlisteTechnologies</t>
  </si>
  <si>
    <t>Automation Solutions</t>
  </si>
  <si>
    <t>https://www.alistetechnologies.com/</t>
  </si>
  <si>
    <t>Noida</t>
  </si>
  <si>
    <t>InsuranceSamadhan</t>
  </si>
  <si>
    <t>Insurance Solutions</t>
  </si>
  <si>
    <t>https://www.insurancesamadhan.com/</t>
  </si>
  <si>
    <t>Meeting The New India Minds</t>
  </si>
  <si>
    <t>HumpyA2</t>
  </si>
  <si>
    <t>Organic Milk A2 Products</t>
  </si>
  <si>
    <t>https://humpyfarms.com/</t>
  </si>
  <si>
    <t>KunafaWorld</t>
  </si>
  <si>
    <t>Kunafa food products</t>
  </si>
  <si>
    <t>https://www.kunafaworld.com/</t>
  </si>
  <si>
    <t>Mangalore</t>
  </si>
  <si>
    <t>GoldSafeSolutions</t>
  </si>
  <si>
    <t>Anti-Suicidal Fan Rod</t>
  </si>
  <si>
    <t>https://www.goldlife.co.in/</t>
  </si>
  <si>
    <t>Businesses Of Tomorrow</t>
  </si>
  <si>
    <t>WakaoFoods</t>
  </si>
  <si>
    <t>Jackfruit Products</t>
  </si>
  <si>
    <t>https://wakaofoods.com/</t>
  </si>
  <si>
    <t>Goa</t>
  </si>
  <si>
    <t>PDDFalcon</t>
  </si>
  <si>
    <t>Stainless Steel Items</t>
  </si>
  <si>
    <t>https://falconproducts.co.in/</t>
  </si>
  <si>
    <t>PlayBoxTV</t>
  </si>
  <si>
    <t>Streaming Platform</t>
  </si>
  <si>
    <t>https://playboxtv.in/</t>
  </si>
  <si>
    <t>Sharks Ki Expertise</t>
  </si>
  <si>
    <t>Sippline</t>
  </si>
  <si>
    <t>Portable Glass Attachment Drinking Shields</t>
  </si>
  <si>
    <t>https://www.sippline.com/</t>
  </si>
  <si>
    <t>KabaddiAdda</t>
  </si>
  <si>
    <t>Sports</t>
  </si>
  <si>
    <t>All-Kabaddi App</t>
  </si>
  <si>
    <t>https://www.kabaddiadda.com/</t>
  </si>
  <si>
    <t>ShadesofSpring</t>
  </si>
  <si>
    <t>Flowers</t>
  </si>
  <si>
    <t>https://shadesofspring.in/</t>
  </si>
  <si>
    <t>Scholify</t>
  </si>
  <si>
    <t>Scholarship Platform</t>
  </si>
  <si>
    <t>https://scholifyme.com/</t>
  </si>
  <si>
    <t>Entrepreneurship Ki Raah</t>
  </si>
  <si>
    <t>Scrapshala</t>
  </si>
  <si>
    <t>Handmade Reusable Scrap Materials</t>
  </si>
  <si>
    <t>https://scrapshala.com/</t>
  </si>
  <si>
    <t>Varanasi</t>
  </si>
  <si>
    <t>Sabjikothi</t>
  </si>
  <si>
    <t>Vegetables Storage SaptKrishi</t>
  </si>
  <si>
    <t>https://www.saptkrishi.com/</t>
  </si>
  <si>
    <t>Bhagalpur</t>
  </si>
  <si>
    <t>AyuRythm</t>
  </si>
  <si>
    <t>Ayurvedic Wellness App</t>
  </si>
  <si>
    <t>https://www.ayurythm.com/home/</t>
  </si>
  <si>
    <t>Astrix</t>
  </si>
  <si>
    <t>Smart Locks Qtouch</t>
  </si>
  <si>
    <t>https://www.astrixengineering.com/</t>
  </si>
  <si>
    <t>Coimbatore</t>
  </si>
  <si>
    <t>The Road To Success</t>
  </si>
  <si>
    <t>TheaandSid</t>
  </si>
  <si>
    <t>Proposal Solutions</t>
  </si>
  <si>
    <t>https://theaandsid.com/</t>
  </si>
  <si>
    <t>ExperentialEtc</t>
  </si>
  <si>
    <t>Technology layered advertisement services</t>
  </si>
  <si>
    <t>https://www.experientialetc.com/</t>
  </si>
  <si>
    <t>GrowFitter</t>
  </si>
  <si>
    <t>Rewards App</t>
  </si>
  <si>
    <t>https://www.growfitter.com/</t>
  </si>
  <si>
    <t>C3Med-Tech</t>
  </si>
  <si>
    <t>Portable ophthalmic vision devices</t>
  </si>
  <si>
    <t>https://c3prototypes.com/</t>
  </si>
  <si>
    <t>Life-Changing Ideas</t>
  </si>
  <si>
    <t>ColourMeMad-CMM</t>
  </si>
  <si>
    <t>Insoles</t>
  </si>
  <si>
    <t>https://yourfootdoctor.in/</t>
  </si>
  <si>
    <t>Mavi's</t>
  </si>
  <si>
    <t>Vegan Fermented Food</t>
  </si>
  <si>
    <t>https://mavispantry.com/</t>
  </si>
  <si>
    <t>Thane</t>
  </si>
  <si>
    <t>TweekLabs</t>
  </si>
  <si>
    <t>Sportswear</t>
  </si>
  <si>
    <t>https://www.tweek-labs.com/</t>
  </si>
  <si>
    <t>Proxgy</t>
  </si>
  <si>
    <t>Virtual Reality</t>
  </si>
  <si>
    <t>https://www.proxgy.com/</t>
  </si>
  <si>
    <t>Scaling Ambitions</t>
  </si>
  <si>
    <t>NomadFoodProject</t>
  </si>
  <si>
    <t>Bacon Jams Relishes</t>
  </si>
  <si>
    <t>https://nomadfoodproject.com/</t>
  </si>
  <si>
    <t>Delhi,Pune</t>
  </si>
  <si>
    <t>Delhi,Maharashtra</t>
  </si>
  <si>
    <t>TweeInOne</t>
  </si>
  <si>
    <t>Reversible and convertible clothing</t>
  </si>
  <si>
    <t>https://tweeinone.com/</t>
  </si>
  <si>
    <t>GreenProtein</t>
  </si>
  <si>
    <t>Plant-Based Protein</t>
  </si>
  <si>
    <t>https://greenprotein.co.in/</t>
  </si>
  <si>
    <t>On2Cook</t>
  </si>
  <si>
    <t>Fastest Cooking Device</t>
  </si>
  <si>
    <t>https://on2cook.com/</t>
  </si>
  <si>
    <t>The Final Destination</t>
  </si>
  <si>
    <t>JainShikanji</t>
  </si>
  <si>
    <t>Lemonade</t>
  </si>
  <si>
    <t>https://jainshikanjimasala.com/</t>
  </si>
  <si>
    <t>Modinagar</t>
  </si>
  <si>
    <t>Woloo</t>
  </si>
  <si>
    <t>Washroom Finder</t>
  </si>
  <si>
    <t>https://woloo.in/</t>
  </si>
  <si>
    <t>ElcareIndia</t>
  </si>
  <si>
    <t>Carenting for Elders</t>
  </si>
  <si>
    <t>https://elcare.co/</t>
  </si>
  <si>
    <t>Gateway To Shark Tank India</t>
  </si>
  <si>
    <t>SneaKare</t>
  </si>
  <si>
    <t>Shoe Sneaker kits storage crates</t>
  </si>
  <si>
    <t>https://sneakare.com/</t>
  </si>
  <si>
    <t>FrenchCrown</t>
  </si>
  <si>
    <t>Clothes</t>
  </si>
  <si>
    <t>https://frenchcrown.in/</t>
  </si>
  <si>
    <t>StoreMyGoods</t>
  </si>
  <si>
    <t>Storage solutions</t>
  </si>
  <si>
    <t>https://storemygoods.in/</t>
  </si>
  <si>
    <t>Devnagri</t>
  </si>
  <si>
    <t>Translation of language content</t>
  </si>
  <si>
    <t>https://devnagri.com/</t>
  </si>
  <si>
    <t>Entrepreneurship Ki Leher Ek Baar Firse</t>
  </si>
  <si>
    <t>Hoovu</t>
  </si>
  <si>
    <t>Fresh Pooja flowers</t>
  </si>
  <si>
    <t>https://hoovufresh.com/</t>
  </si>
  <si>
    <t>Bengaluru</t>
  </si>
  <si>
    <t>Dorji</t>
  </si>
  <si>
    <t>Flavors of Tea</t>
  </si>
  <si>
    <t>https://dorjeteas.com/</t>
  </si>
  <si>
    <t>Darjeeling</t>
  </si>
  <si>
    <t>Recode</t>
  </si>
  <si>
    <t>Beauty &amp; cosmetics</t>
  </si>
  <si>
    <t>https://shop.recodestudios.com/</t>
  </si>
  <si>
    <t>A Bigger Vision</t>
  </si>
  <si>
    <t>VeryMuchIndian</t>
  </si>
  <si>
    <t>Paithani Handloom Sarees</t>
  </si>
  <si>
    <t>https://www.verymuchindian.com/</t>
  </si>
  <si>
    <t>WatchoutWearables</t>
  </si>
  <si>
    <t>Smart watches</t>
  </si>
  <si>
    <t>https://www.watchoutwearables.com/</t>
  </si>
  <si>
    <t>SoupX</t>
  </si>
  <si>
    <t>Soup based meals</t>
  </si>
  <si>
    <t>https://www.soupx.in/</t>
  </si>
  <si>
    <t>Thrilling and Thunderous Pitches</t>
  </si>
  <si>
    <t>ATMOSPHERE</t>
  </si>
  <si>
    <t>Varieties of kombucha</t>
  </si>
  <si>
    <t>https://atmospherestudio.in/</t>
  </si>
  <si>
    <t>Stage</t>
  </si>
  <si>
    <t>Entertainment</t>
  </si>
  <si>
    <t>Web series and movies in Indian languages</t>
  </si>
  <si>
    <t>https://www.stage.in/</t>
  </si>
  <si>
    <t>Bhiwani,Barnagar</t>
  </si>
  <si>
    <t>Haryana,Madhya Pradesh</t>
  </si>
  <si>
    <t>Girgit</t>
  </si>
  <si>
    <t xml:space="preserve">color-changing clothing products </t>
  </si>
  <si>
    <t>https://www.girgitstore.com/</t>
  </si>
  <si>
    <t>Ideas Meets Opportunity</t>
  </si>
  <si>
    <t>GearHeadMotors</t>
  </si>
  <si>
    <t>Electric vehicles bikes</t>
  </si>
  <si>
    <t>https://www.ghmev.com/</t>
  </si>
  <si>
    <t>PatilKaki</t>
  </si>
  <si>
    <t>Homemade snacks</t>
  </si>
  <si>
    <t>https://patilkaki.com/</t>
  </si>
  <si>
    <t>Brandsdaddy</t>
  </si>
  <si>
    <t>Auto Fire Extinguisher</t>
  </si>
  <si>
    <t>https://www.brandsdaddy.com/</t>
  </si>
  <si>
    <t>Investing in the Future of India</t>
  </si>
  <si>
    <t>Winston</t>
  </si>
  <si>
    <t>Techno beauty products at home</t>
  </si>
  <si>
    <t>https://winstonindia.com/</t>
  </si>
  <si>
    <t>Faridabad</t>
  </si>
  <si>
    <t>Flatheads</t>
  </si>
  <si>
    <t>Shoes Sneakers Loafers</t>
  </si>
  <si>
    <t>https://www.flatheads.in/</t>
  </si>
  <si>
    <t>OrganicSmokes</t>
  </si>
  <si>
    <t>Organic Cigarettes Cigarillos Smokes</t>
  </si>
  <si>
    <t>https://www.meaame.com/</t>
  </si>
  <si>
    <t>Determined Entrepreneurs</t>
  </si>
  <si>
    <t>TeaFit</t>
  </si>
  <si>
    <t>Liquor/Beverages</t>
  </si>
  <si>
    <t xml:space="preserve">Refreshing beverages </t>
  </si>
  <si>
    <t>http://tea.fit/</t>
  </si>
  <si>
    <t>Haqdarshak</t>
  </si>
  <si>
    <t>Platform to know about welfare schemes for MSMEs</t>
  </si>
  <si>
    <t>https://haqdarshak.com/</t>
  </si>
  <si>
    <t>Shimla</t>
  </si>
  <si>
    <t>Himachal Pradesh</t>
  </si>
  <si>
    <t>Bhaskar'sPuranpoliGhar</t>
  </si>
  <si>
    <t>Varieties of Puranpoli snacks</t>
  </si>
  <si>
    <t>http://bhaskarspuranpolighar.in/</t>
  </si>
  <si>
    <t>Shaandar Businesses</t>
  </si>
  <si>
    <t>GunjanAppsStudios</t>
  </si>
  <si>
    <t>CHILDREN'S PLAYFUL LEARNING PARTNER</t>
  </si>
  <si>
    <t>https://gunjanappstudios.com/</t>
  </si>
  <si>
    <t>TheSimplySalad</t>
  </si>
  <si>
    <t>Freshly chopped salads</t>
  </si>
  <si>
    <t>https://simplysalad.com/</t>
  </si>
  <si>
    <t>AyuSynk</t>
  </si>
  <si>
    <t>Digital Stethoscopes</t>
  </si>
  <si>
    <t>https://www.ayudevices.com/</t>
  </si>
  <si>
    <t>Investment with Intent</t>
  </si>
  <si>
    <t>AtypicalAdvantage</t>
  </si>
  <si>
    <t>Platform for persons with disabilities</t>
  </si>
  <si>
    <t>https://atypicaladvantage.in/</t>
  </si>
  <si>
    <t>Jamshedpur</t>
  </si>
  <si>
    <t>Jharkhand</t>
  </si>
  <si>
    <t>HouseOfChikankari</t>
  </si>
  <si>
    <t>HANDMADE BY ARTISANS OF LUCKNOW</t>
  </si>
  <si>
    <t>https://www.houseofchikankari.in/</t>
  </si>
  <si>
    <t>MagicOfMemories</t>
  </si>
  <si>
    <t>DNA Jewllery</t>
  </si>
  <si>
    <t>https://www.themagicofmemories.com/</t>
  </si>
  <si>
    <t>Invest In Lifestyle</t>
  </si>
  <si>
    <t>Paradyes</t>
  </si>
  <si>
    <t>Semi Permanent Hair Color</t>
  </si>
  <si>
    <t>https://www.birdsofparadyes.com/</t>
  </si>
  <si>
    <t>Nestroots</t>
  </si>
  <si>
    <t>Furnishing/Household</t>
  </si>
  <si>
    <t>House of design, aesthetics and elegance</t>
  </si>
  <si>
    <t>https://www.nestroots.com/</t>
  </si>
  <si>
    <t>Zillionaire Banne Ki Chah</t>
  </si>
  <si>
    <t>Zillionaire</t>
  </si>
  <si>
    <t>Unique styles of stones and jewels</t>
  </si>
  <si>
    <t>https://zillionaireindia.com/</t>
  </si>
  <si>
    <t>Credmate</t>
  </si>
  <si>
    <t>Platform for credit score</t>
  </si>
  <si>
    <t>https://credmate.in/</t>
  </si>
  <si>
    <t>Freebowler</t>
  </si>
  <si>
    <t>Non-Electric &amp; Portable Bowling Machines</t>
  </si>
  <si>
    <t>https://freebowler.com/</t>
  </si>
  <si>
    <t>Investing The Right Way</t>
  </si>
  <si>
    <t>ABCSports&amp;Fitness</t>
  </si>
  <si>
    <t>Sports training institute</t>
  </si>
  <si>
    <t>https://www.abcfitnessfirm.com/</t>
  </si>
  <si>
    <t>Primebook</t>
  </si>
  <si>
    <t>Android Apps on Windows laptops</t>
  </si>
  <si>
    <t>https://www.primebook.in/</t>
  </si>
  <si>
    <t>DailyDump</t>
  </si>
  <si>
    <t>Compost Bins</t>
  </si>
  <si>
    <t>https://www.dailydump.org/</t>
  </si>
  <si>
    <t>Pitchers Ki Undying Spirit</t>
  </si>
  <si>
    <t>GharSoaps</t>
  </si>
  <si>
    <t>Pure Organic Soaps</t>
  </si>
  <si>
    <t>https://www.gharsoaps.shop/</t>
  </si>
  <si>
    <t>Janitri</t>
  </si>
  <si>
    <t>Pregnancy Monitoring systems</t>
  </si>
  <si>
    <t>https://www.janitri.in/</t>
  </si>
  <si>
    <t>Alwar</t>
  </si>
  <si>
    <t>JaipurWatchCompany</t>
  </si>
  <si>
    <t>Made in India Imperial Automatic Watches</t>
  </si>
  <si>
    <t>https://jaipur.watch/</t>
  </si>
  <si>
    <t>Up And Coming Business Ideas</t>
  </si>
  <si>
    <t>InsideFPV</t>
  </si>
  <si>
    <t>Plug and Fly Drones</t>
  </si>
  <si>
    <t>https://www.insidefpv.com/</t>
  </si>
  <si>
    <t>Angrakhaa</t>
  </si>
  <si>
    <t>Contemporary Indian clothing</t>
  </si>
  <si>
    <t>https://www.angrakhaa.com/</t>
  </si>
  <si>
    <t>Diabexy</t>
  </si>
  <si>
    <t>Diabetes Friendly Food Products</t>
  </si>
  <si>
    <t>https://diabexy.com/</t>
  </si>
  <si>
    <t>Investment Worthy Ideas</t>
  </si>
  <si>
    <t>Kyari</t>
  </si>
  <si>
    <t>Smart stick Guardian</t>
  </si>
  <si>
    <t>https://kyari.in/</t>
  </si>
  <si>
    <t>Ghaziabad</t>
  </si>
  <si>
    <t>MoppFoods</t>
  </si>
  <si>
    <t>Mad over Parathas Pakodas</t>
  </si>
  <si>
    <t>https://moppfoods.com/</t>
  </si>
  <si>
    <t>Econiture</t>
  </si>
  <si>
    <t>Furniture from plastic waste</t>
  </si>
  <si>
    <t>https://www.econiture.com/</t>
  </si>
  <si>
    <t>Amaravati</t>
  </si>
  <si>
    <t>Changing The Face Of Indian Entrepreneurship</t>
  </si>
  <si>
    <t>Dobiee</t>
  </si>
  <si>
    <t>CANDIES MUSKIEE TOYS</t>
  </si>
  <si>
    <t>https://www.dobiee.com/</t>
  </si>
  <si>
    <t>Shinde</t>
  </si>
  <si>
    <t>FastBeetle</t>
  </si>
  <si>
    <t>Local courier and parcel service</t>
  </si>
  <si>
    <t>https://www.fastbeetle.com/</t>
  </si>
  <si>
    <t>Srinagar</t>
  </si>
  <si>
    <t>Pflow</t>
  </si>
  <si>
    <t>Disposable uroflowmetry system</t>
  </si>
  <si>
    <t>https://tejnaksh.com/our-domains/healthcare-equipment/p-flow/</t>
  </si>
  <si>
    <t>Dhule</t>
  </si>
  <si>
    <t>Pitchers Ki Taiyyari</t>
  </si>
  <si>
    <t>VSMani</t>
  </si>
  <si>
    <t>Coffee and snacks</t>
  </si>
  <si>
    <t>https://vsmani.com/</t>
  </si>
  <si>
    <t>Sepal</t>
  </si>
  <si>
    <t>Bike Accessories</t>
  </si>
  <si>
    <t>https://sepal.in/</t>
  </si>
  <si>
    <t>Solinas</t>
  </si>
  <si>
    <t>Products organise the management of pipelines,manholes and septic tanks</t>
  </si>
  <si>
    <t>https://solinas.in/</t>
  </si>
  <si>
    <t>Innovation Hardwork And Diligence</t>
  </si>
  <si>
    <t>AvimeeHerbal</t>
  </si>
  <si>
    <t>Ayurveda hair skin products</t>
  </si>
  <si>
    <t>https://avimeeherbal.com/</t>
  </si>
  <si>
    <t>eyenic</t>
  </si>
  <si>
    <t>Eyewear</t>
  </si>
  <si>
    <t>https://eyenic.in/</t>
  </si>
  <si>
    <t>ekatra</t>
  </si>
  <si>
    <t>Handmade paper goods</t>
  </si>
  <si>
    <t>https://ekatrahandmade.com/</t>
  </si>
  <si>
    <t>Kota</t>
  </si>
  <si>
    <t>Business Ideas With Potential</t>
  </si>
  <si>
    <t>Raasa</t>
  </si>
  <si>
    <t>Food karts</t>
  </si>
  <si>
    <t>NeoMotion</t>
  </si>
  <si>
    <t>Wheelchairs</t>
  </si>
  <si>
    <t>https://www.neomotion.in/</t>
  </si>
  <si>
    <t>licksters</t>
  </si>
  <si>
    <t>Icecreams ice-pops</t>
  </si>
  <si>
    <t>https://www.licksters.com/</t>
  </si>
  <si>
    <t>Sayonara</t>
  </si>
  <si>
    <t>Petticoat</t>
  </si>
  <si>
    <t>Building Brands For India</t>
  </si>
  <si>
    <t>PMV</t>
  </si>
  <si>
    <t>Personal Mobility Vehicle</t>
  </si>
  <si>
    <t>https://pmvelectric.com/</t>
  </si>
  <si>
    <t>SpiceStory</t>
  </si>
  <si>
    <t>Indian Sauces Chutneys</t>
  </si>
  <si>
    <t>https://spice-story.in/</t>
  </si>
  <si>
    <t>Bullspree</t>
  </si>
  <si>
    <t>App to learn stock market basics</t>
  </si>
  <si>
    <t>https://bullspree.com/</t>
  </si>
  <si>
    <t>Nurturing Indian Entrepreneurs</t>
  </si>
  <si>
    <t>Snitch</t>
  </si>
  <si>
    <t>Menswear</t>
  </si>
  <si>
    <t>https://www.snitch.co.in/</t>
  </si>
  <si>
    <t>Portl</t>
  </si>
  <si>
    <t>Portl studio gym</t>
  </si>
  <si>
    <t>https://portl.co/</t>
  </si>
  <si>
    <t>FatToSlim</t>
  </si>
  <si>
    <t>Diet Plan Weight Loss</t>
  </si>
  <si>
    <t>http://fattoslimbangalore.com/</t>
  </si>
  <si>
    <t>Adhbhut Aur Anokhe Entrepreneurs</t>
  </si>
  <si>
    <t>CheeseCake&amp;Co.</t>
  </si>
  <si>
    <t>Cakes Slices</t>
  </si>
  <si>
    <t>https://cheesecakeco.in/</t>
  </si>
  <si>
    <t>Dabble</t>
  </si>
  <si>
    <t>Paints Crayons Brushes</t>
  </si>
  <si>
    <t>https://dabbleplayart.com/</t>
  </si>
  <si>
    <t>CloudTailor</t>
  </si>
  <si>
    <t>Custom tailor online</t>
  </si>
  <si>
    <t>https://www.cloudtailor.com/</t>
  </si>
  <si>
    <t>Bangalore,Hyderabad</t>
  </si>
  <si>
    <t>Karnataka,Telangana</t>
  </si>
  <si>
    <t>BeUnic</t>
  </si>
  <si>
    <t>Platform for LGBTQ+ creators and entrepreneurs</t>
  </si>
  <si>
    <t>https://beunic.in/</t>
  </si>
  <si>
    <t>Making Big Businesses</t>
  </si>
  <si>
    <t>Broomees</t>
  </si>
  <si>
    <t>Helpers homemakers for your home</t>
  </si>
  <si>
    <t>https://broomees.com/</t>
  </si>
  <si>
    <t>Ravel</t>
  </si>
  <si>
    <t>Custom Hair Products</t>
  </si>
  <si>
    <t>https://www.ravelcare.com/</t>
  </si>
  <si>
    <t>HoneyVeda</t>
  </si>
  <si>
    <t>Honey in natural nutritious form</t>
  </si>
  <si>
    <t>https://www.honeyveda.in/</t>
  </si>
  <si>
    <t>Changing The World</t>
  </si>
  <si>
    <t>PadCare</t>
  </si>
  <si>
    <t>Menstrual hygiene disposal solution</t>
  </si>
  <si>
    <t>https://www.padcarelabs.com/</t>
  </si>
  <si>
    <t>SwadeshiBlessings</t>
  </si>
  <si>
    <t>Clay utensils and cookwares</t>
  </si>
  <si>
    <t>https://www.swadeshiblessings.in/</t>
  </si>
  <si>
    <t>Udaipur</t>
  </si>
  <si>
    <t>OLL</t>
  </si>
  <si>
    <t>Online Live Learning Skill development classes</t>
  </si>
  <si>
    <t>https://www.oll.co/</t>
  </si>
  <si>
    <t>Febris</t>
  </si>
  <si>
    <t>Scrubs, Lab Coats &amp; Medical Apparel</t>
  </si>
  <si>
    <t>https://www.febris.in/</t>
  </si>
  <si>
    <t>Ferozepur</t>
  </si>
  <si>
    <t>India Ke Incredible Entrepreneurs</t>
  </si>
  <si>
    <t>Geeani</t>
  </si>
  <si>
    <t>Smallest EV tractor</t>
  </si>
  <si>
    <t>Amore</t>
  </si>
  <si>
    <t>Gelato Ice Cream Online</t>
  </si>
  <si>
    <t>https://www.amoregelato.com/</t>
  </si>
  <si>
    <t>Hyderabad,Mumbai</t>
  </si>
  <si>
    <t>Telangana,Maharashtra</t>
  </si>
  <si>
    <t>yes</t>
  </si>
  <si>
    <t>LeafyAffair</t>
  </si>
  <si>
    <t>Botanical Jewellery</t>
  </si>
  <si>
    <t>https://leafyaffair.com/</t>
  </si>
  <si>
    <t>Badhta India</t>
  </si>
  <si>
    <t>ScrapUncle</t>
  </si>
  <si>
    <t>Sell scrap recyclables online</t>
  </si>
  <si>
    <t>https://scrapuncle.com/</t>
  </si>
  <si>
    <t>SharmaJiKiAata</t>
  </si>
  <si>
    <t>Freshly milled atta</t>
  </si>
  <si>
    <t>https://sharmajikaaata.com/</t>
  </si>
  <si>
    <t>Manetain</t>
  </si>
  <si>
    <t>Curly Hair Care Products</t>
  </si>
  <si>
    <t>https://manetain.in/</t>
  </si>
  <si>
    <t>Cochin,Mumbai</t>
  </si>
  <si>
    <t>Kerala,Maharashtra</t>
  </si>
  <si>
    <t>Bharat Badal Raha Hai</t>
  </si>
  <si>
    <t>GavinParis</t>
  </si>
  <si>
    <t>Gender-Neutral Fashion</t>
  </si>
  <si>
    <t>https://www.gavinparis.com/</t>
  </si>
  <si>
    <t>UnStop</t>
  </si>
  <si>
    <t>Connecting talent colleges recruiters</t>
  </si>
  <si>
    <t>https://unstop.com/</t>
  </si>
  <si>
    <t>BlueTea</t>
  </si>
  <si>
    <t>Ayurvedic Herbal Tea</t>
  </si>
  <si>
    <t>https://bluetea.co.in/</t>
  </si>
  <si>
    <t>Faridabad,Kolkata</t>
  </si>
  <si>
    <t>Haryana,West Bengal</t>
  </si>
  <si>
    <t>Nayi Soch Naye Vichaar</t>
  </si>
  <si>
    <t>TheGreenSnack</t>
  </si>
  <si>
    <t>Healthy Snacks Online</t>
  </si>
  <si>
    <t>https://thegreensnackco.com/</t>
  </si>
  <si>
    <t>HobbyIndia</t>
  </si>
  <si>
    <t>Online Art &amp; Craft Store</t>
  </si>
  <si>
    <t>https://hobbyindia.store/</t>
  </si>
  <si>
    <t>Flhexible</t>
  </si>
  <si>
    <t>Composite paper honeycomb panels</t>
  </si>
  <si>
    <t>https://www.flhexible.com/</t>
  </si>
  <si>
    <t>UpThrust</t>
  </si>
  <si>
    <t>ESPORTS AND GAMING ORGANISATION</t>
  </si>
  <si>
    <t>https://www.upthrustesports.com/</t>
  </si>
  <si>
    <t>Game Changers</t>
  </si>
  <si>
    <t>Zoff</t>
  </si>
  <si>
    <t>Cool Grind Technology Indian Spices</t>
  </si>
  <si>
    <t>https://zofffoods.com/</t>
  </si>
  <si>
    <t>Raipur</t>
  </si>
  <si>
    <t>Chhattisgarh</t>
  </si>
  <si>
    <t>DesiToys</t>
  </si>
  <si>
    <t>Indian Traditional Toys and Indoor Games</t>
  </si>
  <si>
    <t>https://www.desitoys.in/</t>
  </si>
  <si>
    <t>CloudWorx</t>
  </si>
  <si>
    <t>NoCode Enterprise Metaverse App Builder</t>
  </si>
  <si>
    <t>http://www.cloudworx.ai/</t>
  </si>
  <si>
    <t>Pulse Of The Country</t>
  </si>
  <si>
    <t>Mahantam</t>
  </si>
  <si>
    <t>Tea Glass Washing Machine</t>
  </si>
  <si>
    <t>https://mahantam.co.in/</t>
  </si>
  <si>
    <t>Banaskantha</t>
  </si>
  <si>
    <t>MindPeers</t>
  </si>
  <si>
    <t>For Mental Strength</t>
  </si>
  <si>
    <t>https://www.mindpeers.co/</t>
  </si>
  <si>
    <t>Barosi</t>
  </si>
  <si>
    <t>Fresh &amp; pure milk products</t>
  </si>
  <si>
    <t>https://www.barosi.in/</t>
  </si>
  <si>
    <t>Pataudi</t>
  </si>
  <si>
    <t>Changing India</t>
  </si>
  <si>
    <t>Daryaganj</t>
  </si>
  <si>
    <t>North Indian Cuisine restaurant</t>
  </si>
  <si>
    <t>https://daryaganj.com/</t>
  </si>
  <si>
    <t>DhruvVidyut</t>
  </si>
  <si>
    <t>Invention converts cycle into an electric cycle</t>
  </si>
  <si>
    <t>https://www.instagram.com/dhruvvidyutdv/?hl=en</t>
  </si>
  <si>
    <t>CELLBELL</t>
  </si>
  <si>
    <t>Gaming Office Chairs</t>
  </si>
  <si>
    <t>https://cellbell.in/</t>
  </si>
  <si>
    <t>Ulhasnagar</t>
  </si>
  <si>
    <t>Innovations And Investments</t>
  </si>
  <si>
    <t>Tipayi</t>
  </si>
  <si>
    <t>Balance Bike for Kids</t>
  </si>
  <si>
    <t>https://www.vamshycle.com/</t>
  </si>
  <si>
    <t>DigiQure</t>
  </si>
  <si>
    <t>Book Doctors Appointments Video Consultation</t>
  </si>
  <si>
    <t>https://digiqure.com/</t>
  </si>
  <si>
    <t>Bhopal</t>
  </si>
  <si>
    <t>Nirmalaya</t>
  </si>
  <si>
    <t>Incense products made from temple flowers</t>
  </si>
  <si>
    <t>https://nirmalaya.com/</t>
  </si>
  <si>
    <t>Pitch Perfect</t>
  </si>
  <si>
    <t>Pabiben</t>
  </si>
  <si>
    <t>Handcrafted products sold directly by artisans</t>
  </si>
  <si>
    <t>https://www.pabiben.com/</t>
  </si>
  <si>
    <t>Homestrap</t>
  </si>
  <si>
    <t>Collection of organizer for home and travelling</t>
  </si>
  <si>
    <t>https://www.homestrap.com/</t>
  </si>
  <si>
    <t>uBreathe</t>
  </si>
  <si>
    <t>Smart Natural Air Purifier</t>
  </si>
  <si>
    <t>https://www.ubreathe.in/</t>
  </si>
  <si>
    <t>Deyor</t>
  </si>
  <si>
    <t>Chatbot integrated experiential travel website</t>
  </si>
  <si>
    <t>https://www.deyorcamps.com/</t>
  </si>
  <si>
    <t>Growing With India</t>
  </si>
  <si>
    <t>iMumz</t>
  </si>
  <si>
    <t>Transforming pregnancy and parenting with app</t>
  </si>
  <si>
    <t>https://www.imumz.com/</t>
  </si>
  <si>
    <t>TheHealthyBinge</t>
  </si>
  <si>
    <t>Assorted Pack Baked Chips</t>
  </si>
  <si>
    <t>https://www.healthybinge.co.in/</t>
  </si>
  <si>
    <t>Freakins</t>
  </si>
  <si>
    <t>Fashionable Denim Apparel</t>
  </si>
  <si>
    <t>https://freakins.com/</t>
  </si>
  <si>
    <t>Growing Ideas Into Successful Businesses</t>
  </si>
  <si>
    <t>Perfora</t>
  </si>
  <si>
    <t>Toothpaste Electric Toothbrush</t>
  </si>
  <si>
    <t>https://perforacare.com/</t>
  </si>
  <si>
    <t>Ballarpur,Karnal</t>
  </si>
  <si>
    <t>Haryana,Maharashtra</t>
  </si>
  <si>
    <t>MidNightAngelsByPC</t>
  </si>
  <si>
    <t>Lounge &amp; Travel wear</t>
  </si>
  <si>
    <t>https://midnightangelsbypc.com/</t>
  </si>
  <si>
    <t>CureSee</t>
  </si>
  <si>
    <t>Artificial Intelligence (AI) based vision therapy</t>
  </si>
  <si>
    <t>https://curesee.com/</t>
  </si>
  <si>
    <t>Business Ideas Ka Pitara</t>
  </si>
  <si>
    <t>MeduLance</t>
  </si>
  <si>
    <t>One-stop solution for all healthcare needs</t>
  </si>
  <si>
    <t>https://medulance.com/</t>
  </si>
  <si>
    <t>Cakelicious</t>
  </si>
  <si>
    <t>Cakes Online</t>
  </si>
  <si>
    <t>Bowled.io</t>
  </si>
  <si>
    <t>Play-to-Earn Social Gaming Platform</t>
  </si>
  <si>
    <t>https://www.bowled.io/</t>
  </si>
  <si>
    <t>Toyshine</t>
  </si>
  <si>
    <t>Collection of Toys</t>
  </si>
  <si>
    <t>https://toyshine.in/</t>
  </si>
  <si>
    <t>Jalandhar</t>
  </si>
  <si>
    <t>Anokhe Pitchers Ke Anokhe Ideas</t>
  </si>
  <si>
    <t>neuphony</t>
  </si>
  <si>
    <t>Wearable EEG Headband</t>
  </si>
  <si>
    <t>https://neuphony.com/</t>
  </si>
  <si>
    <t>Amrutam</t>
  </si>
  <si>
    <t>Ayurvedic Lifestyle products</t>
  </si>
  <si>
    <t>https://amrutam.co.in/</t>
  </si>
  <si>
    <t>Gwalior</t>
  </si>
  <si>
    <t>HoloKitab</t>
  </si>
  <si>
    <t>Augmented Reality content for books</t>
  </si>
  <si>
    <t>https://www.holokitab.in/</t>
  </si>
  <si>
    <t>Bharat Ka Kal</t>
  </si>
  <si>
    <t>Zoe</t>
  </si>
  <si>
    <t>Nutrition For Life. Shop health &amp; wellness products</t>
  </si>
  <si>
    <t>https://www.zoe.menu/</t>
  </si>
  <si>
    <t>Hornback</t>
  </si>
  <si>
    <t>Diamond frame folding bicycles</t>
  </si>
  <si>
    <t>https://hornback.bike/</t>
  </si>
  <si>
    <t>Malaki</t>
  </si>
  <si>
    <t>Non-Alcoholic Beverages</t>
  </si>
  <si>
    <t>https://malaki.in/</t>
  </si>
  <si>
    <t>nanoclean</t>
  </si>
  <si>
    <t>Contamination Control Solutions</t>
  </si>
  <si>
    <t>https://nanoclean.store/</t>
  </si>
  <si>
    <t>Bikaner</t>
  </si>
  <si>
    <t>Innovation And Imagination</t>
  </si>
  <si>
    <t>DesmondJi</t>
  </si>
  <si>
    <t>Spirits, Liqueurs &amp; Cocktail Blends</t>
  </si>
  <si>
    <t>Cremeitalia</t>
  </si>
  <si>
    <t>Fresh Italian Cheese Products</t>
  </si>
  <si>
    <t>https://cremeitalia.com/</t>
  </si>
  <si>
    <t>nawgati</t>
  </si>
  <si>
    <t>Congestion Management for Fuel Stations</t>
  </si>
  <si>
    <t>https://www.nawgati.com/</t>
  </si>
  <si>
    <t>Swytchd</t>
  </si>
  <si>
    <t>All-inclusive Electric Vehicle Subscription</t>
  </si>
  <si>
    <t>https://swytchd.com/</t>
  </si>
  <si>
    <t>Revolutionary Ideas And Successful Businesses</t>
  </si>
  <si>
    <t>GladFul</t>
  </si>
  <si>
    <t>Natural High Protein Rich &amp; Healthy Foods</t>
  </si>
  <si>
    <t>https://gladful.in/</t>
  </si>
  <si>
    <t>Pharmallama</t>
  </si>
  <si>
    <t>Simplified pharmacy</t>
  </si>
  <si>
    <t>https://pharmallama.com/</t>
  </si>
  <si>
    <t>CraveRajaFoods</t>
  </si>
  <si>
    <t>Cloud-kitchen service</t>
  </si>
  <si>
    <t>https://craverajafoods.com/</t>
  </si>
  <si>
    <t>VAPerfume</t>
  </si>
  <si>
    <t>Devotional, meditational, and romantic incense</t>
  </si>
  <si>
    <t>http://www.vaperfume.com/</t>
  </si>
  <si>
    <t>Creating Valuable Businesses</t>
  </si>
  <si>
    <t>Hood</t>
  </si>
  <si>
    <t>Pseudonymous social network</t>
  </si>
  <si>
    <t>https://www.hood.live/</t>
  </si>
  <si>
    <t>TwistingScoops</t>
  </si>
  <si>
    <t>Authentic turkish ice cream</t>
  </si>
  <si>
    <t>https://twistingscoops.com/</t>
  </si>
  <si>
    <t>GROWiT</t>
  </si>
  <si>
    <t>Protective farming products</t>
  </si>
  <si>
    <t>https://thegrowit.com/</t>
  </si>
  <si>
    <t>Out Of The Box Business Ideas</t>
  </si>
  <si>
    <t>Makino</t>
  </si>
  <si>
    <t>Nachos &amp; Nuts</t>
  </si>
  <si>
    <t>https://makino-new.myshopify.com/</t>
  </si>
  <si>
    <t>Himmatnagar</t>
  </si>
  <si>
    <t>Trunome</t>
  </si>
  <si>
    <t>Post Transplant Care</t>
  </si>
  <si>
    <t>https://acrannolife.com/</t>
  </si>
  <si>
    <t>Wol3D</t>
  </si>
  <si>
    <t>3D printing technology</t>
  </si>
  <si>
    <t>https://worldoflilliputs.com/</t>
  </si>
  <si>
    <t>What'sUpWellness</t>
  </si>
  <si>
    <t>Wellness in the form of quick bites</t>
  </si>
  <si>
    <t>https://whatsupwellness.in/</t>
  </si>
  <si>
    <t>Building Businesses From Scratch</t>
  </si>
  <si>
    <t>ProostBeer</t>
  </si>
  <si>
    <t>Freshly brewed beer</t>
  </si>
  <si>
    <t>https://www.proost69.com/</t>
  </si>
  <si>
    <t>DrCubes</t>
  </si>
  <si>
    <t>Frozen Fresh cubes</t>
  </si>
  <si>
    <t>https://drcubes.in/</t>
  </si>
  <si>
    <t>MetroRide</t>
  </si>
  <si>
    <t>Metro Shuttle Service Access Transportation</t>
  </si>
  <si>
    <t>https://metroride.in/</t>
  </si>
  <si>
    <t>Conker</t>
  </si>
  <si>
    <t>Skill Based Learning Online Courses</t>
  </si>
  <si>
    <t>https://learn.conkerworld.com/</t>
  </si>
  <si>
    <t>Creating Value Through Ideas</t>
  </si>
  <si>
    <t>WTF</t>
  </si>
  <si>
    <t>Where's The Food</t>
  </si>
  <si>
    <t>funngro</t>
  </si>
  <si>
    <t>Smart Teens work with Smart companies</t>
  </si>
  <si>
    <t>https://www.funngro.com/</t>
  </si>
  <si>
    <t>Aadvik</t>
  </si>
  <si>
    <t>Buy Camel &amp; Goat Milk</t>
  </si>
  <si>
    <t>https://aadvikfoods.com/</t>
  </si>
  <si>
    <t>oyehappy</t>
  </si>
  <si>
    <t>Unique Gifts, Customized Gifts, Romantic Gifts, Thoughtful Gifts</t>
  </si>
  <si>
    <t>https://www.oyehappy.com/</t>
  </si>
  <si>
    <t>Entrepreneurship Ka Junoon</t>
  </si>
  <si>
    <t>HealthyMaster</t>
  </si>
  <si>
    <t>Online Dry Fruits, Snacks, Berries, Chips</t>
  </si>
  <si>
    <t>https://healthymaster.in/</t>
  </si>
  <si>
    <t>Kitsons</t>
  </si>
  <si>
    <t>Stationery, Art &amp; Craft, Books &amp; Toy Retail Space</t>
  </si>
  <si>
    <t>https://kitsons.in/</t>
  </si>
  <si>
    <t>LondonBubble</t>
  </si>
  <si>
    <t>Waffle Chips Online</t>
  </si>
  <si>
    <t>https://londonbubbleco.com/</t>
  </si>
  <si>
    <t>WaggyZone</t>
  </si>
  <si>
    <t>Ice Cream Treat for Dogs, Puppies and Cats</t>
  </si>
  <si>
    <t>https://waggyzone.com/</t>
  </si>
  <si>
    <t>True Meaning Of Entrepreneurship</t>
  </si>
  <si>
    <t>NutriCook</t>
  </si>
  <si>
    <t>Smart Pots, Air Fryers, Air Fryer Oven</t>
  </si>
  <si>
    <t>https://www.nutricookindia.com/</t>
  </si>
  <si>
    <t>Bangalore,Punganur</t>
  </si>
  <si>
    <t>Karnataka,Andhra Pradesh</t>
  </si>
  <si>
    <t>Subhag</t>
  </si>
  <si>
    <t>Health-tech IUI Treatment Procedure for Infertility</t>
  </si>
  <si>
    <t>https://subhag.in/</t>
  </si>
  <si>
    <t>Jhumri Telaiya,Raipur</t>
  </si>
  <si>
    <t>Jharkhand,Chhattisgarh</t>
  </si>
  <si>
    <t>SinghStyled</t>
  </si>
  <si>
    <t>Sikh Gentleman to maintain their Guru-gifted identity</t>
  </si>
  <si>
    <t>https://www.singhstyled.com/</t>
  </si>
  <si>
    <t>Different Colours Of Entrepreneurship</t>
  </si>
  <si>
    <t>ZSportsTech</t>
  </si>
  <si>
    <t>Cricket Sport Shop</t>
  </si>
  <si>
    <t>https://www.zsportstech.com/</t>
  </si>
  <si>
    <t>ThePlatedProject</t>
  </si>
  <si>
    <t>Decor Plates &amp; Dinnerware</t>
  </si>
  <si>
    <t>https://www.theplatedproject.com/</t>
  </si>
  <si>
    <t>VsnapU</t>
  </si>
  <si>
    <t>Professional Photography service</t>
  </si>
  <si>
    <t>https://www.vsnapu.com/</t>
  </si>
  <si>
    <t>TheHealthyFactory</t>
  </si>
  <si>
    <t>Protein bread</t>
  </si>
  <si>
    <t>https://www.thehealthfactory.in/</t>
  </si>
  <si>
    <t>Tunnel Se Tank Tak Ka Safar</t>
  </si>
  <si>
    <t>Brevistay</t>
  </si>
  <si>
    <t>Booking hotels for hours</t>
  </si>
  <si>
    <t>https://www.brevistay.com/</t>
  </si>
  <si>
    <t>Dehradun,Nainital,Lucknow</t>
  </si>
  <si>
    <t>Uttarakhand,Uttar Pradesh</t>
  </si>
  <si>
    <t>SoulUp</t>
  </si>
  <si>
    <t>Real Conversations Real People</t>
  </si>
  <si>
    <t>https://www.soulup.in/</t>
  </si>
  <si>
    <t>TheBigBookBox - ChapterOneBooks</t>
  </si>
  <si>
    <t>New paperback and hardcover books</t>
  </si>
  <si>
    <t>https://www.thebigbookbox.com/</t>
  </si>
  <si>
    <t>Gopalganj</t>
  </si>
  <si>
    <t>Pitchers, Investments And Businesses</t>
  </si>
  <si>
    <t>Rubans</t>
  </si>
  <si>
    <t>Artificial Jewellery Set Online</t>
  </si>
  <si>
    <t>https://www.rubans.in/</t>
  </si>
  <si>
    <t>SameNotification</t>
  </si>
  <si>
    <t>parental monitoring app</t>
  </si>
  <si>
    <t>Ahmedabad,Mirzapur</t>
  </si>
  <si>
    <t>Gujarat,Uttar Pradesh</t>
  </si>
  <si>
    <t>BottomLineSprays</t>
  </si>
  <si>
    <t>portable jet spray</t>
  </si>
  <si>
    <t>https://bottomlinesprays.com/</t>
  </si>
  <si>
    <t>LilGoodness</t>
  </si>
  <si>
    <t>https://lilgoodness.com/</t>
  </si>
  <si>
    <t>Businesses Adding Value To Society</t>
  </si>
  <si>
    <t>ForeverModest</t>
  </si>
  <si>
    <t>premium Muslim women's clothing</t>
  </si>
  <si>
    <t>https://forevermodest.shop/</t>
  </si>
  <si>
    <t>Aurangabad</t>
  </si>
  <si>
    <t>Sahayatha</t>
  </si>
  <si>
    <t>smart wheelchair with an assistive cleansing device</t>
  </si>
  <si>
    <t>https://dhanvantribiomedical.com/</t>
  </si>
  <si>
    <t>WickedGud</t>
  </si>
  <si>
    <t>High Protein &amp; Fiber Gluten Free Vegan food</t>
  </si>
  <si>
    <t>https://wickedgud.com/</t>
  </si>
  <si>
    <t>maisha</t>
  </si>
  <si>
    <t>Handmade Cotton &amp; Jacquard Bags</t>
  </si>
  <si>
    <t>https://maishalifestyle.com/</t>
  </si>
  <si>
    <t>Season Finale With The Sharks</t>
  </si>
  <si>
    <t>NishHair</t>
  </si>
  <si>
    <t>100% Human Hair Extensions</t>
  </si>
  <si>
    <t>https://nishhair.com/</t>
  </si>
  <si>
    <t>MYBYK</t>
  </si>
  <si>
    <t>IoT-enabled bikes</t>
  </si>
  <si>
    <t>https://mybyk.in/</t>
  </si>
  <si>
    <t>GODESi</t>
  </si>
  <si>
    <t>Handmade lollipops</t>
  </si>
  <si>
    <t>https://godesi.in/</t>
  </si>
  <si>
    <t>TAC</t>
  </si>
  <si>
    <t>ayurveda co for glowing skin, makeup &amp; open pores</t>
  </si>
  <si>
    <t>https://theayurvedaco.com/</t>
  </si>
  <si>
    <t>Vikas</t>
  </si>
  <si>
    <t>Naara-Aaba</t>
  </si>
  <si>
    <t>pears and plum wine</t>
  </si>
  <si>
    <t>https://www.naaraaaba.com/</t>
  </si>
  <si>
    <t>Ziro</t>
  </si>
  <si>
    <t>Arunachal Pradesh</t>
  </si>
  <si>
    <t>StyloBug</t>
  </si>
  <si>
    <t>Girls Dresses Online</t>
  </si>
  <si>
    <t>https://stylobug.com/</t>
  </si>
  <si>
    <t>Blue Pine Foods</t>
  </si>
  <si>
    <t>Booz Scooters</t>
  </si>
  <si>
    <t>Heart Up My Sleeves</t>
  </si>
  <si>
    <t>Tagz Foods</t>
  </si>
  <si>
    <t>Head And Heart</t>
  </si>
  <si>
    <t xml:space="preserve"> Labs</t>
  </si>
  <si>
    <t>Cos IQ</t>
  </si>
  <si>
    <t>Jha Ji Achaar</t>
  </si>
  <si>
    <t>Revamp Moto</t>
  </si>
  <si>
    <t>Hungry Head</t>
  </si>
  <si>
    <t>Shrawani Engineers</t>
  </si>
  <si>
    <t>Skippi Ice Pops</t>
  </si>
  <si>
    <t>Raising Superstars</t>
  </si>
  <si>
    <t>La Kheer Deli</t>
  </si>
  <si>
    <t>Beyond Snack</t>
  </si>
  <si>
    <t>Vivalyf Innovations</t>
  </si>
  <si>
    <t>Motion Breeze</t>
  </si>
  <si>
    <t>Kabira Handmad</t>
  </si>
  <si>
    <t>Event Beep</t>
  </si>
  <si>
    <t>ARRCOATSurface Textures</t>
  </si>
  <si>
    <t>Swee Desi</t>
  </si>
  <si>
    <t>The Yarn Bazaar</t>
  </si>
  <si>
    <t>The Renal Project</t>
  </si>
  <si>
    <t>Morriko Pure Foods</t>
  </si>
  <si>
    <t>Good Good Piggy</t>
  </si>
  <si>
    <t>Hammer Lifestyle</t>
  </si>
  <si>
    <t>Bamboo India</t>
  </si>
  <si>
    <t>Flying Fur</t>
  </si>
  <si>
    <t>Beyond Water</t>
  </si>
  <si>
    <t>Let Try</t>
  </si>
  <si>
    <t>Find Your Kicks India</t>
  </si>
  <si>
    <t>Aas Vidyalaya</t>
  </si>
  <si>
    <t>Road Bounce</t>
  </si>
  <si>
    <t>Mommy Kitchen</t>
  </si>
  <si>
    <t>India Hempand Co</t>
  </si>
  <si>
    <t>We STOCK</t>
  </si>
  <si>
    <t>Keto India</t>
  </si>
  <si>
    <t>The State Plate</t>
  </si>
  <si>
    <t>Get A-Whey Whey</t>
  </si>
  <si>
    <t>Sid Designs</t>
  </si>
  <si>
    <t>The Quirky Naari</t>
  </si>
  <si>
    <t>Hair Originals</t>
  </si>
  <si>
    <t>Poo Cologne</t>
  </si>
  <si>
    <t>Namhya Foods</t>
  </si>
  <si>
    <t>Urban Monkey</t>
  </si>
  <si>
    <t>Guardian Gears</t>
  </si>
  <si>
    <t>Modern Myth</t>
  </si>
  <si>
    <t>The Sass Bar</t>
  </si>
  <si>
    <t>Nuskha Kitchen</t>
  </si>
  <si>
    <t>Paws India</t>
  </si>
  <si>
    <t>Sunfox Technologies</t>
  </si>
  <si>
    <t>Isak Fragrances</t>
  </si>
  <si>
    <t>Julaa Automation</t>
  </si>
  <si>
    <t>Rare Planet</t>
  </si>
  <si>
    <t>Theka Coffee</t>
  </si>
  <si>
    <t>Watt Technovations</t>
  </si>
  <si>
    <t>Aliste Technologies</t>
  </si>
  <si>
    <t>Insurance Samadhan</t>
  </si>
  <si>
    <t>Humpy A2</t>
  </si>
  <si>
    <t>Kunafa World</t>
  </si>
  <si>
    <t>Gold Safe Solutions</t>
  </si>
  <si>
    <t>Wakao Foods</t>
  </si>
  <si>
    <t>Play Box TV</t>
  </si>
  <si>
    <t>Kabaddi Adda</t>
  </si>
  <si>
    <t>Shadesof Spring</t>
  </si>
  <si>
    <t>Ayu Rythm</t>
  </si>
  <si>
    <t>Theaand Sid</t>
  </si>
  <si>
    <t>Experential Etc</t>
  </si>
  <si>
    <t>Grow Fitter</t>
  </si>
  <si>
    <t>C3Med Tech</t>
  </si>
  <si>
    <t>Colour Me Mad CMM</t>
  </si>
  <si>
    <t>Tweek Labs</t>
  </si>
  <si>
    <t>Nomad Food Project</t>
  </si>
  <si>
    <t>Twee In One</t>
  </si>
  <si>
    <t>Green Protein</t>
  </si>
  <si>
    <t>On Cook</t>
  </si>
  <si>
    <t>Jain Shikanji</t>
  </si>
  <si>
    <t>Elcare India</t>
  </si>
  <si>
    <t>Snea Kare</t>
  </si>
  <si>
    <t>French Crown</t>
  </si>
  <si>
    <t>Store My Goods</t>
  </si>
  <si>
    <t>Very Much Indian</t>
  </si>
  <si>
    <t>Watchout Wearables</t>
  </si>
  <si>
    <t>Soup X</t>
  </si>
  <si>
    <t>Gear Head Motors</t>
  </si>
  <si>
    <t>Patil Kaki</t>
  </si>
  <si>
    <t>Organic Smokes</t>
  </si>
  <si>
    <t>Tea Fit</t>
  </si>
  <si>
    <t>Bhaskar  Ghar</t>
  </si>
  <si>
    <t>Gunjan Apps Studios</t>
  </si>
  <si>
    <t>The Simply Salad</t>
  </si>
  <si>
    <t>Ayu Synk</t>
  </si>
  <si>
    <t>Atypical Advantage</t>
  </si>
  <si>
    <t>House Of Chikankari</t>
  </si>
  <si>
    <t>Magic Of Memories</t>
  </si>
  <si>
    <t>ABCSports Fitness</t>
  </si>
  <si>
    <t>Daily Dump</t>
  </si>
  <si>
    <t>Ghar Soaps</t>
  </si>
  <si>
    <t>Jaipur Watch Company</t>
  </si>
  <si>
    <t>Inside FPV</t>
  </si>
  <si>
    <t>Mopp Foods</t>
  </si>
  <si>
    <t>Fast Beetle</t>
  </si>
  <si>
    <t>Avimee Herbal</t>
  </si>
  <si>
    <t>yenic</t>
  </si>
  <si>
    <t>katra</t>
  </si>
  <si>
    <t>Neo Motion</t>
  </si>
  <si>
    <t>s</t>
  </si>
  <si>
    <t>Spice Story</t>
  </si>
  <si>
    <t>Fat To Slim</t>
  </si>
  <si>
    <t>Cheese Cake Co.</t>
  </si>
  <si>
    <t>Cloud Tailor</t>
  </si>
  <si>
    <t>Be Unic</t>
  </si>
  <si>
    <t>Honey Veda</t>
  </si>
  <si>
    <t>Pad Care</t>
  </si>
  <si>
    <t>Swadeshi Blessings</t>
  </si>
  <si>
    <t>Leafy Affair</t>
  </si>
  <si>
    <t>Scrap Uncle</t>
  </si>
  <si>
    <t>Sharma Ji Ki Aata</t>
  </si>
  <si>
    <t>Gavin Paris</t>
  </si>
  <si>
    <t>Un Stop</t>
  </si>
  <si>
    <t>Blue Tea</t>
  </si>
  <si>
    <t>The Green Snack</t>
  </si>
  <si>
    <t>Hobby India</t>
  </si>
  <si>
    <t>Up Thrust</t>
  </si>
  <si>
    <t>Desi Toys</t>
  </si>
  <si>
    <t>Cloud Worx</t>
  </si>
  <si>
    <t>Mind Peers</t>
  </si>
  <si>
    <t>Dhruv Vidyut</t>
  </si>
  <si>
    <t>Digi Qure</t>
  </si>
  <si>
    <t>Breathe</t>
  </si>
  <si>
    <t>Mumz</t>
  </si>
  <si>
    <t>The Healthy Binge</t>
  </si>
  <si>
    <t>Mid Night Angels By PC</t>
  </si>
  <si>
    <t>Cure See</t>
  </si>
  <si>
    <t>Medu Lance</t>
  </si>
  <si>
    <t>Holo Kitab</t>
  </si>
  <si>
    <t>n</t>
  </si>
  <si>
    <t>Desmond Ji</t>
  </si>
  <si>
    <t>wgati</t>
  </si>
  <si>
    <t>Glad Ful</t>
  </si>
  <si>
    <t>Crave Raja Foods</t>
  </si>
  <si>
    <t>Twisting Scoops</t>
  </si>
  <si>
    <t>GROWi T</t>
  </si>
  <si>
    <t>Wol D</t>
  </si>
  <si>
    <t>What  Wellness</t>
  </si>
  <si>
    <t>Proost Beer</t>
  </si>
  <si>
    <t>Dr Cubes</t>
  </si>
  <si>
    <t>Metro Ride</t>
  </si>
  <si>
    <t>nngro</t>
  </si>
  <si>
    <t>Healthy Master</t>
  </si>
  <si>
    <t>London Bubble</t>
  </si>
  <si>
    <t>Waggy Zone</t>
  </si>
  <si>
    <t>Nutri Cook</t>
  </si>
  <si>
    <t>Singh Styled</t>
  </si>
  <si>
    <t>ZSports Tech</t>
  </si>
  <si>
    <t>The Plated Project</t>
  </si>
  <si>
    <t>Vsnap U</t>
  </si>
  <si>
    <t>The Healthy Factory</t>
  </si>
  <si>
    <t>Soul Up</t>
  </si>
  <si>
    <t>The Big Book Box Chapter One Books</t>
  </si>
  <si>
    <t>Same Notification</t>
  </si>
  <si>
    <t>Bottom Line Sprays</t>
  </si>
  <si>
    <t>Lil Goodness</t>
  </si>
  <si>
    <t>Forever Modest</t>
  </si>
  <si>
    <t>Wicked Gud</t>
  </si>
  <si>
    <t>aisha</t>
  </si>
  <si>
    <t>Nish Hair</t>
  </si>
  <si>
    <t>Naara Aaba</t>
  </si>
  <si>
    <t>Stylo Bug</t>
  </si>
  <si>
    <t>Unknown</t>
  </si>
  <si>
    <t>Cleaned Yearly Revenue</t>
  </si>
  <si>
    <t>Cleaned Monthly Revenue</t>
  </si>
  <si>
    <t>Renting E-Bike For Mobility In Private Spaces</t>
  </si>
  <si>
    <t>Labs</t>
  </si>
  <si>
    <t>Nocd</t>
  </si>
  <si>
    <t>Cos Iq</t>
  </si>
  <si>
    <t>E-Bike Mitra Bud-E Rm</t>
  </si>
  <si>
    <t>Restaurant Serving 80 Types Of Maggi</t>
  </si>
  <si>
    <t>Torch-It</t>
  </si>
  <si>
    <t>Gadgets For Visually Impaired People</t>
  </si>
  <si>
    <t>Report Bullying Incidents</t>
  </si>
  <si>
    <t>Kheer In Variety Of Flavors</t>
  </si>
  <si>
    <t>Healthy Edible Oils Dairy Products Spices Flour</t>
  </si>
  <si>
    <t>Male Intimate Hygiene Deo Spray</t>
  </si>
  <si>
    <t>Student Community App Edtech</t>
  </si>
  <si>
    <t>Gopal'S56</t>
  </si>
  <si>
    <t>Arrcoatsurface Textures</t>
  </si>
  <si>
    <t>Loka</t>
  </si>
  <si>
    <t>Thinkerbell Labs Braille Literary Device</t>
  </si>
  <si>
    <t>Eco-Friendly Boxes</t>
  </si>
  <si>
    <t>Yarn-Trading App Online Marketplace For Yarn</t>
  </si>
  <si>
    <t>Healthy Food Snacks Kamdhenu Foods</t>
  </si>
  <si>
    <t>Pnt</t>
  </si>
  <si>
    <t>Robotics And Automation Solutions</t>
  </si>
  <si>
    <t>Coconut Based Beverage Franchise</t>
  </si>
  <si>
    <t>Dog Pets Hygiene</t>
  </si>
  <si>
    <t>Edtech App</t>
  </si>
  <si>
    <t>Pothole Detection Software And Data</t>
  </si>
  <si>
    <t>Funeral Service The Last Rites</t>
  </si>
  <si>
    <t>Leather-Free Shoes</t>
  </si>
  <si>
    <t>We Stock</t>
  </si>
  <si>
    <t>Brainwired Livestock Health Monitoring Ai Pets Ear Tag</t>
  </si>
  <si>
    <t>Customised Keto Diets For Various Medical/Health Issues</t>
  </si>
  <si>
    <t>Lpg Cylinder Lock</t>
  </si>
  <si>
    <t>Inacan</t>
  </si>
  <si>
    <t>Toilet Spray With Essential Oils</t>
  </si>
  <si>
    <t>Fresh Fruits Salads</t>
  </si>
  <si>
    <t>Motorcycle Luggage Bags</t>
  </si>
  <si>
    <t>Kgagrotech</t>
  </si>
  <si>
    <t>Homemade After Delivery Foods</t>
  </si>
  <si>
    <t>Portable Ecg Device</t>
  </si>
  <si>
    <t>Roasted Peanut Butter Products</t>
  </si>
  <si>
    <t>Ventilated Ppe Kits</t>
  </si>
  <si>
    <t>Kunafa Food Products</t>
  </si>
  <si>
    <t>Pddfalcon</t>
  </si>
  <si>
    <t>Play Box Tv</t>
  </si>
  <si>
    <t>Vegetables Storage Saptkrishi</t>
  </si>
  <si>
    <t>Technology Layered Advertisement Services</t>
  </si>
  <si>
    <t>Portable Ophthalmic Vision Devices</t>
  </si>
  <si>
    <t>Colour Me Mad Cmm</t>
  </si>
  <si>
    <t>Mavi'S</t>
  </si>
  <si>
    <t>Reversible And Convertible Clothing</t>
  </si>
  <si>
    <t>Carenting For Elders</t>
  </si>
  <si>
    <t>Shoe Sneaker Kits Storage Crates</t>
  </si>
  <si>
    <t>Storage Solutions</t>
  </si>
  <si>
    <t>Translation Of Language Content</t>
  </si>
  <si>
    <t>Fresh Pooja Flowers</t>
  </si>
  <si>
    <t>Flavors Of Tea</t>
  </si>
  <si>
    <t>Beauty &amp; Cosmetics</t>
  </si>
  <si>
    <t>Smart Watches</t>
  </si>
  <si>
    <t>Soup Based Meals</t>
  </si>
  <si>
    <t>Atmosphere</t>
  </si>
  <si>
    <t>Varieties Of Kombucha</t>
  </si>
  <si>
    <t>Web Series And Movies In Indian Languages</t>
  </si>
  <si>
    <t>Color-Changing Clothing Products</t>
  </si>
  <si>
    <t>Electric Vehicles Bikes</t>
  </si>
  <si>
    <t>Homemade Snacks</t>
  </si>
  <si>
    <t>Techno Beauty Products At Home</t>
  </si>
  <si>
    <t>Refreshing Beverages</t>
  </si>
  <si>
    <t>Platform To Know About Welfare Schemes For Msmes</t>
  </si>
  <si>
    <t>Varieties Of Puranpoli Snacks</t>
  </si>
  <si>
    <t>Children'S Playful Learning Partner</t>
  </si>
  <si>
    <t>Freshly Chopped Salads</t>
  </si>
  <si>
    <t>Platform For Persons With Disabilities</t>
  </si>
  <si>
    <t>Handmade By Artisans Of Lucknow</t>
  </si>
  <si>
    <t>Dna Jewllery</t>
  </si>
  <si>
    <t>House Of Design, Aesthetics And Elegance</t>
  </si>
  <si>
    <t>Unique Styles Of Stones And Jewels</t>
  </si>
  <si>
    <t>Platform For Credit Score</t>
  </si>
  <si>
    <t>Sports Training Institute</t>
  </si>
  <si>
    <t>Android Apps On Windows Laptops</t>
  </si>
  <si>
    <t>Pregnancy Monitoring Systems</t>
  </si>
  <si>
    <t>Made In India Imperial Automatic Watches</t>
  </si>
  <si>
    <t>Inside Fpv</t>
  </si>
  <si>
    <t>Plug And Fly Drones</t>
  </si>
  <si>
    <t>Contemporary Indian Clothing</t>
  </si>
  <si>
    <t>Smart Stick Guardian</t>
  </si>
  <si>
    <t>Mad Over Parathas Pakodas</t>
  </si>
  <si>
    <t>Furniture From Plastic Waste</t>
  </si>
  <si>
    <t>Candies Muskiee Toys</t>
  </si>
  <si>
    <t>Local Courier And Parcel Service</t>
  </si>
  <si>
    <t>Disposable Uroflowmetry System</t>
  </si>
  <si>
    <t>Vsmani</t>
  </si>
  <si>
    <t>Coffee And Snacks</t>
  </si>
  <si>
    <t>Products Organise The Management Of Pipelines,Manholes And Septic Tanks</t>
  </si>
  <si>
    <t>Ayurveda Hair Skin Products</t>
  </si>
  <si>
    <t>Yenic</t>
  </si>
  <si>
    <t>Katra</t>
  </si>
  <si>
    <t>Handmade Paper Goods</t>
  </si>
  <si>
    <t>Food Karts</t>
  </si>
  <si>
    <t>Icecreams Ice-Pops</t>
  </si>
  <si>
    <t>Pmv</t>
  </si>
  <si>
    <t>App To Learn Stock Market Basics</t>
  </si>
  <si>
    <t>Portl Studio Gym</t>
  </si>
  <si>
    <t>Custom Tailor Online</t>
  </si>
  <si>
    <t>Platform For Lgbtq+ Creators And Entrepreneurs</t>
  </si>
  <si>
    <t>Helpers Homemakers For Your Home</t>
  </si>
  <si>
    <t>Honey In Natural Nutritious Form</t>
  </si>
  <si>
    <t>Menstrual Hygiene Disposal Solution</t>
  </si>
  <si>
    <t>Clay Utensils And Cookwares</t>
  </si>
  <si>
    <t>Oll</t>
  </si>
  <si>
    <t>Online Live Learning Skill Development Classes</t>
  </si>
  <si>
    <t>Smallest Ev Tractor</t>
  </si>
  <si>
    <t>Sell Scrap Recyclables Online</t>
  </si>
  <si>
    <t>Freshly Milled Atta</t>
  </si>
  <si>
    <t>Connecting Talent Colleges Recruiters</t>
  </si>
  <si>
    <t>Composite Paper Honeycomb Panels</t>
  </si>
  <si>
    <t>Esports And Gaming Organisation</t>
  </si>
  <si>
    <t>Indian Traditional Toys And Indoor Games</t>
  </si>
  <si>
    <t>Nocode Enterprise Metaverse App Builder</t>
  </si>
  <si>
    <t>Fresh &amp; Pure Milk Products</t>
  </si>
  <si>
    <t>North Indian Cuisine Restaurant</t>
  </si>
  <si>
    <t>Invention Converts Cycle Into An Electric Cycle</t>
  </si>
  <si>
    <t>Cellbell</t>
  </si>
  <si>
    <t>Balance Bike For Kids</t>
  </si>
  <si>
    <t>Incense Products Made From Temple Flowers</t>
  </si>
  <si>
    <t>Handcrafted Products Sold Directly By Artisans</t>
  </si>
  <si>
    <t>Collection Of Organizer For Home And Travelling</t>
  </si>
  <si>
    <t>Chatbot Integrated Experiential Travel Website</t>
  </si>
  <si>
    <t>Transforming Pregnancy And Parenting With App</t>
  </si>
  <si>
    <t>Mid Night Angels By Pc</t>
  </si>
  <si>
    <t>Lounge &amp; Travel Wear</t>
  </si>
  <si>
    <t>Artificial Intelligence (Ai) Based Vision Therapy</t>
  </si>
  <si>
    <t>One-Stop Solution For All Healthcare Needs</t>
  </si>
  <si>
    <t>Bowled.Io</t>
  </si>
  <si>
    <t>Play-To-Earn Social Gaming Platform</t>
  </si>
  <si>
    <t>Collection Of Toys</t>
  </si>
  <si>
    <t>Wearable Eeg Headband</t>
  </si>
  <si>
    <t>Ayurvedic Lifestyle Products</t>
  </si>
  <si>
    <t>Augmented Reality Content For Books</t>
  </si>
  <si>
    <t>Nutrition For Life. Shop Health &amp; Wellness Products</t>
  </si>
  <si>
    <t>Diamond Frame Folding Bicycles</t>
  </si>
  <si>
    <t>Wgati</t>
  </si>
  <si>
    <t>Congestion Management For Fuel Stations</t>
  </si>
  <si>
    <t>All-Inclusive Electric Vehicle Subscription</t>
  </si>
  <si>
    <t>Simplified Pharmacy</t>
  </si>
  <si>
    <t>Cloud-Kitchen Service</t>
  </si>
  <si>
    <t>Vaperfume</t>
  </si>
  <si>
    <t>Devotional, Meditational, And Romantic Incense</t>
  </si>
  <si>
    <t>Pseudonymous Social Network</t>
  </si>
  <si>
    <t>Authentic Turkish Ice Cream</t>
  </si>
  <si>
    <t>Protective Farming Products</t>
  </si>
  <si>
    <t>3D Printing Technology</t>
  </si>
  <si>
    <t>Wellness In The Form Of Quick Bites</t>
  </si>
  <si>
    <t>Freshly Brewed Beer</t>
  </si>
  <si>
    <t>Frozen Fresh Cubes</t>
  </si>
  <si>
    <t>Wtf</t>
  </si>
  <si>
    <t>Where'S The Food</t>
  </si>
  <si>
    <t>Nngro</t>
  </si>
  <si>
    <t>Smart Teens Work With Smart Companies</t>
  </si>
  <si>
    <t>Ice Cream Treat For Dogs, Puppies And Cats</t>
  </si>
  <si>
    <t>Health-Tech Iui Treatment Procedure For Infertility</t>
  </si>
  <si>
    <t>Sikh Gentleman To Maintain Their Guru-Gifted Identity</t>
  </si>
  <si>
    <t>Zsports Tech</t>
  </si>
  <si>
    <t>Professional Photography Service</t>
  </si>
  <si>
    <t>Protein Bread</t>
  </si>
  <si>
    <t>Booking Hotels For Hours</t>
  </si>
  <si>
    <t>New Paperback And Hardcover Books</t>
  </si>
  <si>
    <t>Parental Monitoring App</t>
  </si>
  <si>
    <t>Portable Jet Spray</t>
  </si>
  <si>
    <t>Premium Muslim Women'S Clothing</t>
  </si>
  <si>
    <t>Smart Wheelchair With An Assistive Cleansing Device</t>
  </si>
  <si>
    <t>High Protein &amp; Fiber Gluten Free Vegan Food</t>
  </si>
  <si>
    <t>Aisha</t>
  </si>
  <si>
    <t>Mybyk</t>
  </si>
  <si>
    <t>Iot-Enabled Bikes</t>
  </si>
  <si>
    <t>Godesi</t>
  </si>
  <si>
    <t>Handmade Lollipops</t>
  </si>
  <si>
    <t>Tac</t>
  </si>
  <si>
    <t>Ayurveda Co For Glowing Skin, Makeup &amp; Open Pores</t>
  </si>
  <si>
    <t>Pears And Plum Wine</t>
  </si>
  <si>
    <t>Licksters</t>
  </si>
  <si>
    <t>Neuphony</t>
  </si>
  <si>
    <t>Nanoclean</t>
  </si>
  <si>
    <t>Oyehappy</t>
  </si>
  <si>
    <t>Grow it</t>
  </si>
  <si>
    <t>World of Lilliputs</t>
  </si>
  <si>
    <t>Abc sports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</si>
</sst>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1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6DF380-42C0-43BD-A199-64245485C76B}" autoFormatId="16" applyNumberFormats="0" applyBorderFormats="0" applyFontFormats="0" applyPatternFormats="0" applyAlignmentFormats="0" applyWidthHeightFormats="0">
  <queryTableRefresh nextId="65">
    <queryTableFields count="64">
      <queryTableField id="1" name="Season Number" tableColumnId="1"/>
      <queryTableField id="2" name="Season Start" tableColumnId="2"/>
      <queryTableField id="3" name="Season End" tableColumnId="3"/>
      <queryTableField id="4" name="Episode Number" tableColumnId="4"/>
      <queryTableField id="5" name="Episode Title" tableColumnId="5"/>
      <queryTableField id="6" name="Pitch Number" tableColumnId="6"/>
      <queryTableField id="7" name="Startup Name" tableColumnId="7"/>
      <queryTableField id="8" name="Industry" tableColumnId="8"/>
      <queryTableField id="9" name="Business Description" tableColumnId="9"/>
      <queryTableField id="10" name="Company Website" tableColumnId="10"/>
      <queryTableField id="11" name="Number of Presenters" tableColumnId="11"/>
      <queryTableField id="12" name="Male Presenters" tableColumnId="12"/>
      <queryTableField id="13" name="Female Presenters" tableColumnId="13"/>
      <queryTableField id="14" name="Transgender Presenters" tableColumnId="14"/>
      <queryTableField id="15" name="Couple Presenters" tableColumnId="15"/>
      <queryTableField id="16" name="Pitchers Average Age" tableColumnId="16"/>
      <queryTableField id="17" name="Started in" tableColumnId="17"/>
      <queryTableField id="18" name="Pitchers City" tableColumnId="18"/>
      <queryTableField id="19" name="Pitchers State" tableColumnId="19"/>
      <queryTableField id="20" name="Cleaned Yearly Revenue" tableColumnId="20"/>
      <queryTableField id="21" name="Cleaned Monthly Revenue" tableColumnId="21"/>
      <queryTableField id="22" name="Gross Margin" tableColumnId="22"/>
      <queryTableField id="23" name="Net Margin" tableColumnId="23"/>
      <queryTableField id="24" name="Original Ask Amount" tableColumnId="24"/>
      <queryTableField id="25" name="Original Offered Equity" tableColumnId="25"/>
      <queryTableField id="26" name="Valuation Requested" tableColumnId="26"/>
      <queryTableField id="27" name="Received Offer" tableColumnId="27"/>
      <queryTableField id="28" name="Accepted Offer" tableColumnId="28"/>
      <queryTableField id="29" name="Total Deal Amount" tableColumnId="29"/>
      <queryTableField id="30" name="Total Deal Equity" tableColumnId="30"/>
      <queryTableField id="31" name="Total Deal Debt" tableColumnId="31"/>
      <queryTableField id="32" name="Debt Interest" tableColumnId="32"/>
      <queryTableField id="33" name="Deal Valuation" tableColumnId="33"/>
      <queryTableField id="34" name="Number of sharks in deal" tableColumnId="34"/>
      <queryTableField id="35" name="Deal has conditions" tableColumnId="35"/>
      <queryTableField id="36" name="Has Patents" tableColumnId="36"/>
      <queryTableField id="37" name="Ashneer Investment Amount" tableColumnId="37"/>
      <queryTableField id="38" name="Ashneer Investment Equity" tableColumnId="38"/>
      <queryTableField id="39" name="Ashneer Debt Amount" tableColumnId="39"/>
      <queryTableField id="40" name="Namita Investment Amount" tableColumnId="40"/>
      <queryTableField id="41" name="Namita Investment Equity" tableColumnId="41"/>
      <queryTableField id="42" name="Namita Debt Amount" tableColumnId="42"/>
      <queryTableField id="43" name="Anupam Investment Amount" tableColumnId="43"/>
      <queryTableField id="44" name="Anupam Investment Equity" tableColumnId="44"/>
      <queryTableField id="45" name="Anupam Debt Amount" tableColumnId="45"/>
      <queryTableField id="46" name="Vineeta Investment Amount" tableColumnId="46"/>
      <queryTableField id="47" name="Vineeta Investment Equity" tableColumnId="47"/>
      <queryTableField id="48" name="Vineeta Debt Amount" tableColumnId="48"/>
      <queryTableField id="49" name="Aman Investment Amount" tableColumnId="49"/>
      <queryTableField id="50" name="Aman Investment Equity" tableColumnId="50"/>
      <queryTableField id="51" name="Aman Debt Amount" tableColumnId="51"/>
      <queryTableField id="52" name="Peyush Investment Amount" tableColumnId="52"/>
      <queryTableField id="53" name="Peyush Investment Equity" tableColumnId="53"/>
      <queryTableField id="54" name="Peyush Debt Amount" tableColumnId="54"/>
      <queryTableField id="55" name="Ghazal Investment Amount" tableColumnId="55"/>
      <queryTableField id="56" name="Ghazal Investment Equity" tableColumnId="56"/>
      <queryTableField id="57" name="Ghazal Debt Amount" tableColumnId="57"/>
      <queryTableField id="58" name="Amit Investment Amount" tableColumnId="58"/>
      <queryTableField id="59" name="Amit Investment Equity" tableColumnId="59"/>
      <queryTableField id="60" name="Amit Debt Amount" tableColumnId="60"/>
      <queryTableField id="61" name="Guest Investment Amount" tableColumnId="61"/>
      <queryTableField id="62" name="Guest Investment Equity" tableColumnId="62"/>
      <queryTableField id="63" name="Guest Debt Amount" tableColumnId="63"/>
      <queryTableField id="64" name="Guest Name" tableColumnId="6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4E00F-436B-44C9-BB34-442DF1F6D66F}" name="shark_tank__1" displayName="shark_tank__1" ref="A1:BL291" tableType="queryTable" totalsRowShown="0">
  <autoFilter ref="A1:BL291" xr:uid="{D9B4E00F-436B-44C9-BB34-442DF1F6D66F}"/>
  <tableColumns count="64">
    <tableColumn id="1" xr3:uid="{995A914D-3B26-432D-B421-7B9CA69E8725}" uniqueName="1" name="Season Number" queryTableFieldId="1"/>
    <tableColumn id="2" xr3:uid="{A13E748A-ED10-4EDE-AAB8-4F37DC794CAD}" uniqueName="2" name="Season Start" queryTableFieldId="2" dataDxfId="10"/>
    <tableColumn id="3" xr3:uid="{4227069F-57DF-4A71-A3EA-B699E841EA25}" uniqueName="3" name="Season End" queryTableFieldId="3" dataDxfId="9"/>
    <tableColumn id="4" xr3:uid="{2D0109F6-86B4-4AA1-A7C7-681F53AB398B}" uniqueName="4" name="Episode Number" queryTableFieldId="4"/>
    <tableColumn id="5" xr3:uid="{6E8E00C2-9B95-4ECC-BED9-A3F9EC6D5465}" uniqueName="5" name="Episode Title" queryTableFieldId="5" dataDxfId="8"/>
    <tableColumn id="6" xr3:uid="{2BEED0B5-66F0-4DD8-8D11-9B4B4FD7EA29}" uniqueName="6" name="Pitch Number" queryTableFieldId="6"/>
    <tableColumn id="7" xr3:uid="{B1F886E2-71EA-4ECF-BE5E-D54AE0A8DAB6}" uniqueName="7" name="Startup Name" queryTableFieldId="7" dataDxfId="7"/>
    <tableColumn id="8" xr3:uid="{FC9A77EC-5D4B-4BD9-836F-7C0F0B85E4ED}" uniqueName="8" name="Industry" queryTableFieldId="8" dataDxfId="6"/>
    <tableColumn id="9" xr3:uid="{188D4AAF-2672-44C8-8729-04E86813BB13}" uniqueName="9" name="Business Description" queryTableFieldId="9" dataDxfId="5"/>
    <tableColumn id="10" xr3:uid="{1D3AF832-8A13-4BA2-AF69-85866EFB8C45}" uniqueName="10" name="Company Website" queryTableFieldId="10" dataDxfId="4"/>
    <tableColumn id="11" xr3:uid="{5A3BDED7-6EE1-4A0C-8E9A-9F6C97652A02}" uniqueName="11" name="Number of Presenters" queryTableFieldId="11"/>
    <tableColumn id="12" xr3:uid="{5124670A-7D94-496E-A0A3-EC9C70587F2C}" uniqueName="12" name="Male Presenters" queryTableFieldId="12"/>
    <tableColumn id="13" xr3:uid="{5F1B0429-ECDF-441F-8826-28412378C78D}" uniqueName="13" name="Female Presenters" queryTableFieldId="13"/>
    <tableColumn id="14" xr3:uid="{B6A05184-2D6D-4B84-A9B2-68E68D6870BD}" uniqueName="14" name="Transgender Presenters" queryTableFieldId="14"/>
    <tableColumn id="15" xr3:uid="{519A4C6F-47A9-4AEE-8605-9A0D6FD8FED6}" uniqueName="15" name="Couple Presenters" queryTableFieldId="15"/>
    <tableColumn id="16" xr3:uid="{AC728D37-38EE-4937-B063-49D44E57705F}" uniqueName="16" name="Pitchers Average Age" queryTableFieldId="16" dataDxfId="3"/>
    <tableColumn id="17" xr3:uid="{E65F6220-DB28-4231-BD4E-E1681F9DB27E}" uniqueName="17" name="Started in" queryTableFieldId="17"/>
    <tableColumn id="18" xr3:uid="{7A6C68E3-B5D7-4820-A5A6-9B40D43F91A4}" uniqueName="18" name="Pitchers City" queryTableFieldId="18" dataDxfId="2"/>
    <tableColumn id="19" xr3:uid="{EB9A8329-7CE0-46F6-996A-C04C258B343B}" uniqueName="19" name="Pitchers State" queryTableFieldId="19" dataDxfId="1"/>
    <tableColumn id="20" xr3:uid="{D49E7A87-0546-49BA-8CF3-E14B5ECEA087}" uniqueName="20" name="Cleaned Yearly Revenue" queryTableFieldId="20"/>
    <tableColumn id="21" xr3:uid="{2F6A5644-7746-43C5-B5F7-4A920EDBAE71}" uniqueName="21" name="Cleaned Monthly Revenue" queryTableFieldId="21"/>
    <tableColumn id="22" xr3:uid="{3A680406-B55A-40E6-8908-176348B3778C}" uniqueName="22" name="Gross Margin" queryTableFieldId="22"/>
    <tableColumn id="23" xr3:uid="{2C638AD1-261B-4223-969F-03E5905D1F83}" uniqueName="23" name="Net Margin" queryTableFieldId="23"/>
    <tableColumn id="24" xr3:uid="{D04D828C-92EB-4F41-8462-377491017FEF}" uniqueName="24" name="Original Ask Amount" queryTableFieldId="24"/>
    <tableColumn id="25" xr3:uid="{9A4C8982-5EFA-4A23-8091-57F1C771E5B2}" uniqueName="25" name="Original Offered Equity" queryTableFieldId="25"/>
    <tableColumn id="26" xr3:uid="{B52730B3-ECD4-42BE-B5AF-EA2D1621ADE2}" uniqueName="26" name="Valuation Requested" queryTableFieldId="26"/>
    <tableColumn id="27" xr3:uid="{4FF04402-3BD8-4A75-B419-0BB11A155889}" uniqueName="27" name="Received Offer" queryTableFieldId="27"/>
    <tableColumn id="28" xr3:uid="{CAEBE426-E3CD-4010-86EA-17DA97D4A0EB}" uniqueName="28" name="Accepted Offer" queryTableFieldId="28"/>
    <tableColumn id="29" xr3:uid="{E44FE32C-5DB5-4274-8FF0-0768523B554E}" uniqueName="29" name="Total Deal Amount" queryTableFieldId="29"/>
    <tableColumn id="30" xr3:uid="{9A62C42A-3A5A-4435-B729-81099FB2E381}" uniqueName="30" name="Total Deal Equity" queryTableFieldId="30"/>
    <tableColumn id="31" xr3:uid="{61879CF7-E790-4273-8D03-AFA0A939FDB0}" uniqueName="31" name="Total Deal Debt" queryTableFieldId="31"/>
    <tableColumn id="32" xr3:uid="{A7003A07-E3D0-4BB4-B948-0FB54ACF6A18}" uniqueName="32" name="Debt Interest" queryTableFieldId="32"/>
    <tableColumn id="33" xr3:uid="{6B128C32-426F-4E0F-A95B-44DC2940B742}" uniqueName="33" name="Deal Valuation" queryTableFieldId="33"/>
    <tableColumn id="34" xr3:uid="{BCE851BF-6E96-43F1-9865-AD8CF2B0FF87}" uniqueName="34" name="Number of sharks in deal" queryTableFieldId="34"/>
    <tableColumn id="35" xr3:uid="{2B1DDA0B-E126-45E0-BC72-4E4BEC308A5F}" uniqueName="35" name="Deal has conditions" queryTableFieldId="35" dataDxfId="0"/>
    <tableColumn id="36" xr3:uid="{B801A24E-8321-4181-A0E9-9319449D27E7}" uniqueName="36" name="Has Patents" queryTableFieldId="36"/>
    <tableColumn id="37" xr3:uid="{6181D434-9BF2-4F0C-A439-450E95CC0B49}" uniqueName="37" name="Ashneer Investment Amount" queryTableFieldId="37"/>
    <tableColumn id="38" xr3:uid="{1EE857D6-642C-4A55-8BCC-326BCCC4EAD2}" uniqueName="38" name="Ashneer Investment Equity" queryTableFieldId="38"/>
    <tableColumn id="39" xr3:uid="{9234BDC0-1117-47BB-9BF8-FDD964B3551B}" uniqueName="39" name="Ashneer Debt Amount" queryTableFieldId="39"/>
    <tableColumn id="40" xr3:uid="{03FAADF5-BB71-4C5D-9BB4-6F25D0AE5E6A}" uniqueName="40" name="Namita Investment Amount" queryTableFieldId="40"/>
    <tableColumn id="41" xr3:uid="{BC6122E6-F8AF-4ABB-8ABE-4A6A64A16251}" uniqueName="41" name="Namita Investment Equity" queryTableFieldId="41"/>
    <tableColumn id="42" xr3:uid="{12DE3591-2336-48C4-9737-DD8FF06F718E}" uniqueName="42" name="Namita Debt Amount" queryTableFieldId="42"/>
    <tableColumn id="43" xr3:uid="{401F9DFB-0A81-46E6-BA8D-B45C54608CBF}" uniqueName="43" name="Anupam Investment Amount" queryTableFieldId="43"/>
    <tableColumn id="44" xr3:uid="{EB31A1C8-5F3D-46BC-89C4-3F6CA9D28D9F}" uniqueName="44" name="Anupam Investment Equity" queryTableFieldId="44"/>
    <tableColumn id="45" xr3:uid="{A5C95CAC-D53C-43E8-A605-C29A16E2751E}" uniqueName="45" name="Anupam Debt Amount" queryTableFieldId="45"/>
    <tableColumn id="46" xr3:uid="{9C5F95FE-6984-4692-A5CD-4D7F6CF7EB19}" uniqueName="46" name="Vineeta Investment Amount" queryTableFieldId="46"/>
    <tableColumn id="47" xr3:uid="{266AABFC-6AA1-4E9C-8D93-C9CBEB5F91B5}" uniqueName="47" name="Vineeta Investment Equity" queryTableFieldId="47"/>
    <tableColumn id="48" xr3:uid="{7AA6261C-B0A3-46A3-B1DF-DF440B5F83E1}" uniqueName="48" name="Vineeta Debt Amount" queryTableFieldId="48"/>
    <tableColumn id="49" xr3:uid="{2E913227-9E18-44B5-9FCA-003E990B7E18}" uniqueName="49" name="Aman Investment Amount" queryTableFieldId="49"/>
    <tableColumn id="50" xr3:uid="{D72B3015-7DD0-4370-AD05-92FD7A031016}" uniqueName="50" name="Aman Investment Equity" queryTableFieldId="50"/>
    <tableColumn id="51" xr3:uid="{AF980050-4E4C-4564-9DF7-AAA1A342361A}" uniqueName="51" name="Aman Debt Amount" queryTableFieldId="51"/>
    <tableColumn id="52" xr3:uid="{A84EBC92-DD80-4DF8-8538-15F67E8C0C74}" uniqueName="52" name="Peyush Investment Amount" queryTableFieldId="52"/>
    <tableColumn id="53" xr3:uid="{6B217856-1357-4CAE-808C-33BB91BA7620}" uniqueName="53" name="Peyush Investment Equity" queryTableFieldId="53"/>
    <tableColumn id="54" xr3:uid="{AE8DD82B-1591-436C-BCB9-4EE0AFCFDF6F}" uniqueName="54" name="Peyush Debt Amount" queryTableFieldId="54"/>
    <tableColumn id="55" xr3:uid="{53120896-8EE7-454B-A682-ED201887BFA7}" uniqueName="55" name="Ghazal Investment Amount" queryTableFieldId="55"/>
    <tableColumn id="56" xr3:uid="{D3B77086-63B9-4988-9354-FE59D55B8E62}" uniqueName="56" name="Ghazal Investment Equity" queryTableFieldId="56"/>
    <tableColumn id="57" xr3:uid="{9B9886CD-37E6-4336-87A3-6701E4F10546}" uniqueName="57" name="Ghazal Debt Amount" queryTableFieldId="57"/>
    <tableColumn id="58" xr3:uid="{EA554512-FC4A-4695-9497-A87AA2B6DEC9}" uniqueName="58" name="Amit Investment Amount" queryTableFieldId="58"/>
    <tableColumn id="59" xr3:uid="{F800D6B0-7141-4CF2-BC0E-95B971F88FBD}" uniqueName="59" name="Amit Investment Equity" queryTableFieldId="59"/>
    <tableColumn id="60" xr3:uid="{D0CF8DDE-318C-4B94-A485-F82F3601E035}" uniqueName="60" name="Amit Debt Amount" queryTableFieldId="60"/>
    <tableColumn id="61" xr3:uid="{A2A6B04A-A2D7-43BE-9751-25D2ED926AEF}" uniqueName="61" name="Guest Investment Amount" queryTableFieldId="61"/>
    <tableColumn id="62" xr3:uid="{009F7AB4-5252-4A4D-B93C-47F4EF93211D}" uniqueName="62" name="Guest Investment Equity" queryTableFieldId="62"/>
    <tableColumn id="63" xr3:uid="{E6879F4E-7559-419E-A7D4-5E936D0230B8}" uniqueName="63" name="Guest Debt Amount" queryTableFieldId="63"/>
    <tableColumn id="64" xr3:uid="{8FC763C9-5B75-4F51-B69D-8637B9E9F4D7}" uniqueName="64" name="Guest Name" queryTableFieldId="6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D92E-9BEE-41A7-A942-C6D6166BC12A}">
  <dimension ref="A1:BL291"/>
  <sheetViews>
    <sheetView tabSelected="1" workbookViewId="0">
      <selection activeCell="T18" sqref="T18"/>
    </sheetView>
  </sheetViews>
  <sheetFormatPr defaultRowHeight="14.4" x14ac:dyDescent="0.3"/>
  <cols>
    <col min="1" max="1" width="16.6640625" bestFit="1" customWidth="1"/>
    <col min="2" max="2" width="13.6640625" bestFit="1" customWidth="1"/>
    <col min="3" max="3" width="12.88671875" bestFit="1" customWidth="1"/>
    <col min="4" max="4" width="17.21875" bestFit="1" customWidth="1"/>
    <col min="5" max="5" width="39.33203125" bestFit="1" customWidth="1"/>
    <col min="6" max="6" width="14.77734375" bestFit="1" customWidth="1"/>
    <col min="7" max="7" width="31.77734375" bestFit="1" customWidth="1"/>
    <col min="8" max="8" width="23.33203125" bestFit="1" customWidth="1"/>
    <col min="9" max="9" width="76.77734375" bestFit="1" customWidth="1"/>
    <col min="10" max="10" width="56.109375" bestFit="1" customWidth="1"/>
    <col min="11" max="11" width="21.77734375" bestFit="1" customWidth="1"/>
    <col min="12" max="12" width="16.77734375" bestFit="1" customWidth="1"/>
    <col min="13" max="13" width="18.5546875" bestFit="1" customWidth="1"/>
    <col min="14" max="14" width="23.109375" bestFit="1" customWidth="1"/>
    <col min="15" max="15" width="18.44140625" bestFit="1" customWidth="1"/>
    <col min="16" max="16" width="21.109375" bestFit="1" customWidth="1"/>
    <col min="17" max="17" width="11.33203125" bestFit="1" customWidth="1"/>
    <col min="18" max="18" width="23.6640625" bestFit="1" customWidth="1"/>
    <col min="19" max="19" width="23.21875" bestFit="1" customWidth="1"/>
    <col min="20" max="20" width="23.6640625" bestFit="1" customWidth="1"/>
    <col min="21" max="21" width="25.77734375" bestFit="1" customWidth="1"/>
    <col min="22" max="22" width="14.21875" bestFit="1" customWidth="1"/>
    <col min="23" max="23" width="12.6640625" bestFit="1" customWidth="1"/>
    <col min="24" max="24" width="20.6640625" bestFit="1" customWidth="1"/>
    <col min="25" max="25" width="22.5546875" bestFit="1" customWidth="1"/>
    <col min="26" max="26" width="20.88671875" bestFit="1" customWidth="1"/>
    <col min="27" max="27" width="15.6640625" bestFit="1" customWidth="1"/>
    <col min="28" max="28" width="16" bestFit="1" customWidth="1"/>
    <col min="29" max="29" width="19" bestFit="1" customWidth="1"/>
    <col min="30" max="30" width="17.44140625" bestFit="1" customWidth="1"/>
    <col min="31" max="31" width="16.109375" bestFit="1" customWidth="1"/>
    <col min="32" max="32" width="14.109375" bestFit="1" customWidth="1"/>
    <col min="33" max="33" width="15.5546875" bestFit="1" customWidth="1"/>
    <col min="34" max="34" width="24.44140625" bestFit="1" customWidth="1"/>
    <col min="35" max="35" width="19.6640625" bestFit="1" customWidth="1"/>
    <col min="36" max="36" width="13" bestFit="1" customWidth="1"/>
    <col min="37" max="37" width="27.88671875" bestFit="1" customWidth="1"/>
    <col min="38" max="38" width="26.21875" bestFit="1" customWidth="1"/>
    <col min="39" max="39" width="22.109375" bestFit="1" customWidth="1"/>
    <col min="40" max="40" width="27" bestFit="1" customWidth="1"/>
    <col min="41" max="41" width="25.44140625" bestFit="1" customWidth="1"/>
    <col min="42" max="42" width="21.33203125" bestFit="1" customWidth="1"/>
    <col min="43" max="43" width="28.21875" bestFit="1" customWidth="1"/>
    <col min="44" max="44" width="26.5546875" bestFit="1" customWidth="1"/>
    <col min="45" max="45" width="22.44140625" bestFit="1" customWidth="1"/>
    <col min="46" max="46" width="27.33203125" bestFit="1" customWidth="1"/>
    <col min="47" max="47" width="25.77734375" bestFit="1" customWidth="1"/>
    <col min="48" max="48" width="21.6640625" bestFit="1" customWidth="1"/>
    <col min="49" max="49" width="25.88671875" bestFit="1" customWidth="1"/>
    <col min="50" max="50" width="24.33203125" bestFit="1" customWidth="1"/>
    <col min="51" max="51" width="20.21875" bestFit="1" customWidth="1"/>
    <col min="52" max="52" width="27" bestFit="1" customWidth="1"/>
    <col min="53" max="53" width="25.44140625" bestFit="1" customWidth="1"/>
    <col min="54" max="54" width="21.33203125" bestFit="1" customWidth="1"/>
    <col min="55" max="55" width="26.44140625" bestFit="1" customWidth="1"/>
    <col min="56" max="56" width="24.88671875" bestFit="1" customWidth="1"/>
    <col min="57" max="57" width="20.77734375" bestFit="1" customWidth="1"/>
    <col min="58" max="58" width="24.88671875" bestFit="1" customWidth="1"/>
    <col min="59" max="59" width="23.21875" bestFit="1" customWidth="1"/>
    <col min="60" max="60" width="19.109375" bestFit="1" customWidth="1"/>
    <col min="61" max="61" width="25.6640625" bestFit="1" customWidth="1"/>
    <col min="62" max="62" width="24.109375" bestFit="1" customWidth="1"/>
    <col min="63" max="63" width="20" bestFit="1" customWidth="1"/>
    <col min="64" max="64" width="13.44140625" bestFit="1" customWidth="1"/>
  </cols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1310</v>
      </c>
      <c r="U1" t="s">
        <v>1311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3">
      <c r="A2">
        <v>1</v>
      </c>
      <c r="B2" s="4">
        <v>44550</v>
      </c>
      <c r="C2" s="4">
        <v>44596</v>
      </c>
      <c r="D2">
        <v>1</v>
      </c>
      <c r="E2" t="s">
        <v>64</v>
      </c>
      <c r="F2">
        <v>1</v>
      </c>
      <c r="G2" t="s">
        <v>1140</v>
      </c>
      <c r="H2" t="s">
        <v>66</v>
      </c>
      <c r="I2" t="s">
        <v>67</v>
      </c>
      <c r="J2" t="s">
        <v>68</v>
      </c>
      <c r="K2">
        <v>3</v>
      </c>
      <c r="L2">
        <v>2</v>
      </c>
      <c r="M2">
        <v>1</v>
      </c>
      <c r="N2">
        <v>0</v>
      </c>
      <c r="O2">
        <v>0</v>
      </c>
      <c r="P2" t="s">
        <v>69</v>
      </c>
      <c r="Q2">
        <v>2016</v>
      </c>
      <c r="R2" t="s">
        <v>70</v>
      </c>
      <c r="S2" t="s">
        <v>70</v>
      </c>
      <c r="T2">
        <v>95</v>
      </c>
      <c r="U2">
        <v>8</v>
      </c>
      <c r="X2">
        <v>50</v>
      </c>
      <c r="Y2">
        <v>5</v>
      </c>
      <c r="Z2">
        <v>1000</v>
      </c>
      <c r="AA2">
        <v>1</v>
      </c>
      <c r="AB2">
        <v>1</v>
      </c>
      <c r="AC2">
        <v>75</v>
      </c>
      <c r="AD2">
        <v>16</v>
      </c>
      <c r="AE2">
        <v>0</v>
      </c>
      <c r="AF2">
        <v>0</v>
      </c>
      <c r="AG2">
        <v>469</v>
      </c>
      <c r="AH2">
        <v>3</v>
      </c>
      <c r="AK2">
        <v>25</v>
      </c>
      <c r="AL2">
        <v>5.33</v>
      </c>
      <c r="AT2">
        <v>25</v>
      </c>
      <c r="AU2">
        <v>5.33</v>
      </c>
      <c r="AW2">
        <v>25</v>
      </c>
      <c r="AX2">
        <v>5.33</v>
      </c>
    </row>
    <row r="3" spans="1:64" x14ac:dyDescent="0.3">
      <c r="A3">
        <v>1</v>
      </c>
      <c r="B3" s="4">
        <v>44550</v>
      </c>
      <c r="C3" s="4">
        <v>44596</v>
      </c>
      <c r="D3">
        <v>1</v>
      </c>
      <c r="E3" t="s">
        <v>64</v>
      </c>
      <c r="F3">
        <v>2</v>
      </c>
      <c r="G3" t="s">
        <v>1141</v>
      </c>
      <c r="H3" t="s">
        <v>72</v>
      </c>
      <c r="I3" t="s">
        <v>1312</v>
      </c>
      <c r="J3" t="s">
        <v>74</v>
      </c>
      <c r="K3">
        <v>1</v>
      </c>
      <c r="L3">
        <v>1</v>
      </c>
      <c r="M3">
        <v>0</v>
      </c>
      <c r="N3">
        <v>0</v>
      </c>
      <c r="O3">
        <v>0</v>
      </c>
      <c r="P3" t="s">
        <v>75</v>
      </c>
      <c r="Q3">
        <v>2017</v>
      </c>
      <c r="R3" t="s">
        <v>76</v>
      </c>
      <c r="S3" t="s">
        <v>77</v>
      </c>
      <c r="T3">
        <v>4</v>
      </c>
      <c r="U3">
        <f>shark_tank__1[[#This Row],[Cleaned Yearly Revenue]]/12</f>
        <v>0.33333333333333331</v>
      </c>
      <c r="X3">
        <v>40</v>
      </c>
      <c r="Y3">
        <v>15</v>
      </c>
      <c r="Z3">
        <v>267</v>
      </c>
      <c r="AA3">
        <v>1</v>
      </c>
      <c r="AB3">
        <v>1</v>
      </c>
      <c r="AC3">
        <v>40</v>
      </c>
      <c r="AD3">
        <v>50</v>
      </c>
      <c r="AE3">
        <v>0</v>
      </c>
      <c r="AF3">
        <v>0</v>
      </c>
      <c r="AG3">
        <v>80</v>
      </c>
      <c r="AH3">
        <v>2</v>
      </c>
      <c r="AK3">
        <v>20</v>
      </c>
      <c r="AL3">
        <v>25</v>
      </c>
      <c r="AT3">
        <v>20</v>
      </c>
      <c r="AU3">
        <v>25</v>
      </c>
    </row>
    <row r="4" spans="1:64" x14ac:dyDescent="0.3">
      <c r="A4">
        <v>1</v>
      </c>
      <c r="B4" s="4">
        <v>44550</v>
      </c>
      <c r="C4" s="4">
        <v>44596</v>
      </c>
      <c r="D4">
        <v>1</v>
      </c>
      <c r="E4" t="s">
        <v>64</v>
      </c>
      <c r="F4">
        <v>3</v>
      </c>
      <c r="G4" t="s">
        <v>1142</v>
      </c>
      <c r="H4" t="s">
        <v>79</v>
      </c>
      <c r="I4" t="s">
        <v>80</v>
      </c>
      <c r="J4" t="s">
        <v>81</v>
      </c>
      <c r="K4">
        <v>1</v>
      </c>
      <c r="L4">
        <v>0</v>
      </c>
      <c r="M4">
        <v>1</v>
      </c>
      <c r="N4">
        <v>0</v>
      </c>
      <c r="O4">
        <v>0</v>
      </c>
      <c r="P4" t="s">
        <v>75</v>
      </c>
      <c r="Q4">
        <v>2021</v>
      </c>
      <c r="R4" t="s">
        <v>70</v>
      </c>
      <c r="S4" t="s">
        <v>70</v>
      </c>
      <c r="T4">
        <v>24</v>
      </c>
      <c r="U4">
        <f>shark_tank__1[[#This Row],[Cleaned Yearly Revenue]]/12</f>
        <v>2</v>
      </c>
      <c r="X4">
        <v>25</v>
      </c>
      <c r="Y4">
        <v>10</v>
      </c>
      <c r="Z4">
        <v>250</v>
      </c>
      <c r="AA4">
        <v>1</v>
      </c>
      <c r="AB4">
        <v>1</v>
      </c>
      <c r="AC4">
        <v>25</v>
      </c>
      <c r="AD4">
        <v>30</v>
      </c>
      <c r="AE4">
        <v>0</v>
      </c>
      <c r="AF4">
        <v>0</v>
      </c>
      <c r="AG4">
        <v>83</v>
      </c>
      <c r="AH4">
        <v>2</v>
      </c>
      <c r="AQ4">
        <v>12.5</v>
      </c>
      <c r="AR4">
        <v>15</v>
      </c>
      <c r="AT4">
        <v>12.5</v>
      </c>
      <c r="AU4">
        <v>15</v>
      </c>
    </row>
    <row r="5" spans="1:64" x14ac:dyDescent="0.3">
      <c r="A5">
        <v>1</v>
      </c>
      <c r="B5" s="4">
        <v>44550</v>
      </c>
      <c r="C5" s="4">
        <v>44596</v>
      </c>
      <c r="D5">
        <v>2</v>
      </c>
      <c r="E5" t="s">
        <v>82</v>
      </c>
      <c r="F5">
        <v>4</v>
      </c>
      <c r="G5" t="s">
        <v>1143</v>
      </c>
      <c r="H5" t="s">
        <v>66</v>
      </c>
      <c r="I5" t="s">
        <v>84</v>
      </c>
      <c r="J5" t="s">
        <v>85</v>
      </c>
      <c r="K5">
        <v>2</v>
      </c>
      <c r="L5">
        <v>2</v>
      </c>
      <c r="M5">
        <v>0</v>
      </c>
      <c r="N5">
        <v>0</v>
      </c>
      <c r="O5">
        <v>0</v>
      </c>
      <c r="P5" t="s">
        <v>69</v>
      </c>
      <c r="Q5">
        <v>2019</v>
      </c>
      <c r="R5" t="s">
        <v>86</v>
      </c>
      <c r="S5" t="s">
        <v>87</v>
      </c>
      <c r="T5">
        <v>700</v>
      </c>
      <c r="U5">
        <f>shark_tank__1[[#This Row],[Cleaned Yearly Revenue]]/12</f>
        <v>58.333333333333336</v>
      </c>
      <c r="V5">
        <v>48</v>
      </c>
      <c r="X5">
        <v>70</v>
      </c>
      <c r="Y5">
        <v>1</v>
      </c>
      <c r="Z5">
        <v>7000</v>
      </c>
      <c r="AA5">
        <v>1</v>
      </c>
      <c r="AB5">
        <v>1</v>
      </c>
      <c r="AC5">
        <v>70</v>
      </c>
      <c r="AD5">
        <v>2.75</v>
      </c>
      <c r="AE5">
        <v>0</v>
      </c>
      <c r="AF5">
        <v>0</v>
      </c>
      <c r="AG5">
        <v>2545</v>
      </c>
      <c r="AH5">
        <v>1</v>
      </c>
      <c r="AK5">
        <v>70</v>
      </c>
      <c r="AL5">
        <v>2.75</v>
      </c>
    </row>
    <row r="6" spans="1:64" x14ac:dyDescent="0.3">
      <c r="A6">
        <v>1</v>
      </c>
      <c r="B6" s="4">
        <v>44550</v>
      </c>
      <c r="C6" s="4">
        <v>44596</v>
      </c>
      <c r="D6">
        <v>2</v>
      </c>
      <c r="E6" t="s">
        <v>82</v>
      </c>
      <c r="F6">
        <v>5</v>
      </c>
      <c r="G6" t="s">
        <v>1144</v>
      </c>
      <c r="H6" t="s">
        <v>89</v>
      </c>
      <c r="I6" t="s">
        <v>90</v>
      </c>
      <c r="J6" t="s">
        <v>91</v>
      </c>
      <c r="K6">
        <v>4</v>
      </c>
      <c r="L6">
        <v>1</v>
      </c>
      <c r="M6">
        <v>3</v>
      </c>
      <c r="N6">
        <v>0</v>
      </c>
      <c r="O6">
        <v>1</v>
      </c>
      <c r="P6" t="s">
        <v>69</v>
      </c>
      <c r="Q6">
        <v>2015</v>
      </c>
      <c r="R6" t="s">
        <v>92</v>
      </c>
      <c r="S6" t="s">
        <v>93</v>
      </c>
      <c r="T6">
        <v>30</v>
      </c>
      <c r="U6">
        <f>shark_tank__1[[#This Row],[Cleaned Yearly Revenue]]/12</f>
        <v>2.5</v>
      </c>
      <c r="X6">
        <v>50</v>
      </c>
      <c r="Y6">
        <v>5</v>
      </c>
      <c r="Z6">
        <v>1000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64" x14ac:dyDescent="0.3">
      <c r="A7">
        <v>1</v>
      </c>
      <c r="B7" s="4">
        <v>44550</v>
      </c>
      <c r="C7" s="4">
        <v>44596</v>
      </c>
      <c r="D7">
        <v>2</v>
      </c>
      <c r="E7" t="s">
        <v>82</v>
      </c>
      <c r="F7">
        <v>6</v>
      </c>
      <c r="G7" t="s">
        <v>94</v>
      </c>
      <c r="H7" t="s">
        <v>95</v>
      </c>
      <c r="I7" t="s">
        <v>96</v>
      </c>
      <c r="J7" t="s">
        <v>97</v>
      </c>
      <c r="K7">
        <v>2</v>
      </c>
      <c r="L7">
        <v>1</v>
      </c>
      <c r="M7">
        <v>1</v>
      </c>
      <c r="N7">
        <v>0</v>
      </c>
      <c r="O7">
        <v>1</v>
      </c>
      <c r="P7" t="s">
        <v>69</v>
      </c>
      <c r="Q7">
        <v>2005</v>
      </c>
      <c r="R7" t="s">
        <v>98</v>
      </c>
      <c r="S7" t="s">
        <v>99</v>
      </c>
      <c r="T7">
        <v>79</v>
      </c>
      <c r="U7">
        <f>shark_tank__1[[#This Row],[Cleaned Yearly Revenue]]/12</f>
        <v>6.583333333333333</v>
      </c>
      <c r="X7">
        <v>50</v>
      </c>
      <c r="Y7">
        <v>5</v>
      </c>
      <c r="Z7">
        <v>1000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64" x14ac:dyDescent="0.3">
      <c r="A8">
        <v>1</v>
      </c>
      <c r="B8" s="4">
        <v>44550</v>
      </c>
      <c r="C8" s="4">
        <v>44596</v>
      </c>
      <c r="D8">
        <v>3</v>
      </c>
      <c r="E8" t="s">
        <v>100</v>
      </c>
      <c r="F8">
        <v>7</v>
      </c>
      <c r="G8" t="s">
        <v>1313</v>
      </c>
      <c r="H8" t="s">
        <v>66</v>
      </c>
      <c r="I8" t="s">
        <v>102</v>
      </c>
      <c r="J8" t="s">
        <v>103</v>
      </c>
      <c r="K8">
        <v>2</v>
      </c>
      <c r="L8">
        <v>0</v>
      </c>
      <c r="M8">
        <v>2</v>
      </c>
      <c r="N8">
        <v>0</v>
      </c>
      <c r="O8">
        <v>0</v>
      </c>
      <c r="P8" t="s">
        <v>69</v>
      </c>
      <c r="Q8">
        <v>2020</v>
      </c>
      <c r="R8" t="s">
        <v>104</v>
      </c>
      <c r="S8" t="s">
        <v>105</v>
      </c>
      <c r="T8">
        <v>25</v>
      </c>
      <c r="U8">
        <f>shark_tank__1[[#This Row],[Cleaned Yearly Revenue]]/12</f>
        <v>2.0833333333333335</v>
      </c>
      <c r="X8">
        <v>100</v>
      </c>
      <c r="Y8">
        <v>0.25</v>
      </c>
      <c r="Z8">
        <v>40000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64" x14ac:dyDescent="0.3">
      <c r="A9">
        <v>1</v>
      </c>
      <c r="B9" s="4">
        <v>44550</v>
      </c>
      <c r="C9" s="4">
        <v>44596</v>
      </c>
      <c r="D9">
        <v>3</v>
      </c>
      <c r="E9" t="s">
        <v>100</v>
      </c>
      <c r="F9">
        <v>8</v>
      </c>
      <c r="G9" t="s">
        <v>106</v>
      </c>
      <c r="H9" t="s">
        <v>79</v>
      </c>
      <c r="I9" t="s">
        <v>107</v>
      </c>
      <c r="J9" t="s">
        <v>108</v>
      </c>
      <c r="K9">
        <v>1</v>
      </c>
      <c r="L9">
        <v>1</v>
      </c>
      <c r="M9">
        <v>0</v>
      </c>
      <c r="N9">
        <v>0</v>
      </c>
      <c r="O9">
        <v>0</v>
      </c>
      <c r="P9" t="s">
        <v>75</v>
      </c>
      <c r="Q9">
        <v>2019</v>
      </c>
      <c r="R9" t="s">
        <v>109</v>
      </c>
      <c r="S9" t="s">
        <v>99</v>
      </c>
      <c r="T9">
        <v>100</v>
      </c>
      <c r="U9">
        <f>shark_tank__1[[#This Row],[Cleaned Yearly Revenue]]/12</f>
        <v>8.3333333333333339</v>
      </c>
      <c r="X9">
        <v>75</v>
      </c>
      <c r="Y9">
        <v>4</v>
      </c>
      <c r="Z9">
        <v>1875</v>
      </c>
      <c r="AA9">
        <v>1</v>
      </c>
      <c r="AB9">
        <v>1</v>
      </c>
      <c r="AC9">
        <v>75</v>
      </c>
      <c r="AD9">
        <v>6</v>
      </c>
      <c r="AE9">
        <v>0</v>
      </c>
      <c r="AF9">
        <v>0</v>
      </c>
      <c r="AG9">
        <v>1250</v>
      </c>
      <c r="AH9">
        <v>1</v>
      </c>
      <c r="AW9">
        <v>75</v>
      </c>
      <c r="AX9">
        <v>6</v>
      </c>
    </row>
    <row r="10" spans="1:64" x14ac:dyDescent="0.3">
      <c r="A10">
        <v>1</v>
      </c>
      <c r="B10" s="4">
        <v>44550</v>
      </c>
      <c r="C10" s="4">
        <v>44596</v>
      </c>
      <c r="D10">
        <v>3</v>
      </c>
      <c r="E10" t="s">
        <v>100</v>
      </c>
      <c r="F10">
        <v>9</v>
      </c>
      <c r="G10" t="s">
        <v>1314</v>
      </c>
      <c r="H10" t="s">
        <v>66</v>
      </c>
      <c r="I10" t="s">
        <v>111</v>
      </c>
      <c r="J10" t="s">
        <v>112</v>
      </c>
      <c r="K10">
        <v>2</v>
      </c>
      <c r="L10">
        <v>2</v>
      </c>
      <c r="M10">
        <v>0</v>
      </c>
      <c r="N10">
        <v>0</v>
      </c>
      <c r="O10">
        <v>0</v>
      </c>
      <c r="P10" t="s">
        <v>69</v>
      </c>
      <c r="Q10">
        <v>2019</v>
      </c>
      <c r="R10" t="s">
        <v>86</v>
      </c>
      <c r="S10" t="s">
        <v>87</v>
      </c>
      <c r="T10">
        <v>240</v>
      </c>
      <c r="U10">
        <f>shark_tank__1[[#This Row],[Cleaned Yearly Revenue]]/12</f>
        <v>20</v>
      </c>
      <c r="X10">
        <v>50</v>
      </c>
      <c r="Y10">
        <v>2</v>
      </c>
      <c r="Z10">
        <v>2500</v>
      </c>
      <c r="AA10">
        <v>1</v>
      </c>
      <c r="AB10">
        <v>1</v>
      </c>
      <c r="AC10">
        <v>20</v>
      </c>
      <c r="AD10">
        <v>15</v>
      </c>
      <c r="AE10">
        <v>30</v>
      </c>
      <c r="AF10">
        <v>0</v>
      </c>
      <c r="AG10">
        <v>133</v>
      </c>
      <c r="AH10">
        <v>1</v>
      </c>
      <c r="AT10">
        <v>20</v>
      </c>
      <c r="AU10">
        <v>15</v>
      </c>
      <c r="AV10">
        <v>30</v>
      </c>
    </row>
    <row r="11" spans="1:64" x14ac:dyDescent="0.3">
      <c r="A11">
        <v>1</v>
      </c>
      <c r="B11" s="4">
        <v>44550</v>
      </c>
      <c r="C11" s="4">
        <v>44596</v>
      </c>
      <c r="D11">
        <v>4</v>
      </c>
      <c r="E11" t="s">
        <v>113</v>
      </c>
      <c r="F11">
        <v>10</v>
      </c>
      <c r="G11" t="s">
        <v>1315</v>
      </c>
      <c r="H11" t="s">
        <v>79</v>
      </c>
      <c r="I11" t="s">
        <v>115</v>
      </c>
      <c r="J11" t="s">
        <v>116</v>
      </c>
      <c r="K11">
        <v>2</v>
      </c>
      <c r="L11">
        <v>1</v>
      </c>
      <c r="M11">
        <v>1</v>
      </c>
      <c r="N11">
        <v>0</v>
      </c>
      <c r="O11">
        <v>1</v>
      </c>
      <c r="P11" t="s">
        <v>69</v>
      </c>
      <c r="Q11">
        <v>2021</v>
      </c>
      <c r="R11" t="s">
        <v>70</v>
      </c>
      <c r="S11" t="s">
        <v>70</v>
      </c>
      <c r="T11">
        <v>48</v>
      </c>
      <c r="U11">
        <f>shark_tank__1[[#This Row],[Cleaned Yearly Revenue]]/12</f>
        <v>4</v>
      </c>
      <c r="V11">
        <v>75</v>
      </c>
      <c r="X11">
        <v>50</v>
      </c>
      <c r="Y11">
        <v>7.5</v>
      </c>
      <c r="Z11">
        <v>667</v>
      </c>
      <c r="AA11">
        <v>1</v>
      </c>
      <c r="AB11">
        <v>1</v>
      </c>
      <c r="AC11">
        <v>50</v>
      </c>
      <c r="AD11">
        <v>25</v>
      </c>
      <c r="AE11">
        <v>0</v>
      </c>
      <c r="AF11">
        <v>0</v>
      </c>
      <c r="AG11">
        <v>200</v>
      </c>
      <c r="AH11">
        <v>2</v>
      </c>
      <c r="AQ11">
        <v>25</v>
      </c>
      <c r="AR11">
        <v>12.5</v>
      </c>
      <c r="AT11">
        <v>25</v>
      </c>
      <c r="AU11">
        <v>12.5</v>
      </c>
    </row>
    <row r="12" spans="1:64" x14ac:dyDescent="0.3">
      <c r="A12">
        <v>1</v>
      </c>
      <c r="B12" s="4">
        <v>44550</v>
      </c>
      <c r="C12" s="4">
        <v>44596</v>
      </c>
      <c r="D12">
        <v>4</v>
      </c>
      <c r="E12" t="s">
        <v>113</v>
      </c>
      <c r="F12">
        <v>11</v>
      </c>
      <c r="G12" t="s">
        <v>1147</v>
      </c>
      <c r="H12" t="s">
        <v>66</v>
      </c>
      <c r="I12" t="s">
        <v>118</v>
      </c>
      <c r="J12" t="s">
        <v>119</v>
      </c>
      <c r="K12">
        <v>2</v>
      </c>
      <c r="L12">
        <v>0</v>
      </c>
      <c r="M12">
        <v>2</v>
      </c>
      <c r="N12">
        <v>0</v>
      </c>
      <c r="O12">
        <v>0</v>
      </c>
      <c r="P12" t="s">
        <v>120</v>
      </c>
      <c r="Q12">
        <v>2021</v>
      </c>
      <c r="R12" t="s">
        <v>121</v>
      </c>
      <c r="S12" t="s">
        <v>122</v>
      </c>
      <c r="T12">
        <v>60</v>
      </c>
      <c r="U12">
        <f>shark_tank__1[[#This Row],[Cleaned Yearly Revenue]]/12</f>
        <v>5</v>
      </c>
      <c r="V12">
        <v>18</v>
      </c>
      <c r="X12">
        <v>50</v>
      </c>
      <c r="Y12">
        <v>10</v>
      </c>
      <c r="Z12">
        <v>500</v>
      </c>
      <c r="AA12">
        <v>1</v>
      </c>
      <c r="AB12">
        <v>1</v>
      </c>
      <c r="AC12">
        <v>56.6</v>
      </c>
      <c r="AD12">
        <v>5.62</v>
      </c>
      <c r="AE12">
        <v>0</v>
      </c>
      <c r="AF12">
        <v>0</v>
      </c>
      <c r="AG12">
        <v>1007</v>
      </c>
      <c r="AH12">
        <v>2</v>
      </c>
      <c r="AN12">
        <v>28.3</v>
      </c>
      <c r="AO12">
        <v>2.81</v>
      </c>
      <c r="AT12">
        <v>28.3</v>
      </c>
      <c r="AU12">
        <v>2.81</v>
      </c>
    </row>
    <row r="13" spans="1:64" x14ac:dyDescent="0.3">
      <c r="A13">
        <v>1</v>
      </c>
      <c r="B13" s="4">
        <v>44550</v>
      </c>
      <c r="C13" s="4">
        <v>44596</v>
      </c>
      <c r="D13">
        <v>4</v>
      </c>
      <c r="E13" t="s">
        <v>113</v>
      </c>
      <c r="F13">
        <v>12</v>
      </c>
      <c r="G13" t="s">
        <v>123</v>
      </c>
      <c r="H13" t="s">
        <v>79</v>
      </c>
      <c r="I13" t="s">
        <v>124</v>
      </c>
      <c r="J13" t="s">
        <v>125</v>
      </c>
      <c r="K13">
        <v>1</v>
      </c>
      <c r="L13">
        <v>1</v>
      </c>
      <c r="M13">
        <v>0</v>
      </c>
      <c r="N13">
        <v>0</v>
      </c>
      <c r="O13">
        <v>0</v>
      </c>
      <c r="P13" t="s">
        <v>75</v>
      </c>
      <c r="Q13">
        <v>2020</v>
      </c>
      <c r="R13" t="s">
        <v>76</v>
      </c>
      <c r="S13" t="s">
        <v>77</v>
      </c>
      <c r="T13">
        <v>180</v>
      </c>
      <c r="U13">
        <f>shark_tank__1[[#This Row],[Cleaned Yearly Revenue]]/12</f>
        <v>15</v>
      </c>
      <c r="V13">
        <v>70</v>
      </c>
      <c r="X13">
        <v>75</v>
      </c>
      <c r="Y13">
        <v>4</v>
      </c>
      <c r="Z13">
        <v>1875</v>
      </c>
      <c r="AA13">
        <v>1</v>
      </c>
      <c r="AB13">
        <v>1</v>
      </c>
      <c r="AC13">
        <v>75</v>
      </c>
      <c r="AD13">
        <v>7.5</v>
      </c>
      <c r="AE13">
        <v>0</v>
      </c>
      <c r="AF13">
        <v>0</v>
      </c>
      <c r="AG13">
        <v>1000</v>
      </c>
      <c r="AH13">
        <v>2</v>
      </c>
      <c r="AN13">
        <v>37.5</v>
      </c>
      <c r="AO13">
        <v>3.75</v>
      </c>
      <c r="AW13">
        <v>37.5</v>
      </c>
      <c r="AX13">
        <v>3.75</v>
      </c>
    </row>
    <row r="14" spans="1:64" x14ac:dyDescent="0.3">
      <c r="A14">
        <v>1</v>
      </c>
      <c r="B14" s="4">
        <v>44550</v>
      </c>
      <c r="C14" s="4">
        <v>44596</v>
      </c>
      <c r="D14">
        <v>5</v>
      </c>
      <c r="E14" t="s">
        <v>126</v>
      </c>
      <c r="F14">
        <v>13</v>
      </c>
      <c r="G14" t="s">
        <v>1148</v>
      </c>
      <c r="H14" t="s">
        <v>72</v>
      </c>
      <c r="I14" t="s">
        <v>1316</v>
      </c>
      <c r="J14" t="s">
        <v>129</v>
      </c>
      <c r="K14">
        <v>3</v>
      </c>
      <c r="L14">
        <v>3</v>
      </c>
      <c r="M14">
        <v>0</v>
      </c>
      <c r="N14">
        <v>0</v>
      </c>
      <c r="O14">
        <v>0</v>
      </c>
      <c r="P14" t="s">
        <v>75</v>
      </c>
      <c r="Q14" t="s">
        <v>1309</v>
      </c>
      <c r="R14" t="s">
        <v>130</v>
      </c>
      <c r="S14" t="s">
        <v>99</v>
      </c>
      <c r="T14">
        <v>0.1</v>
      </c>
      <c r="U14">
        <f>shark_tank__1[[#This Row],[Cleaned Yearly Revenue]]/12</f>
        <v>8.3333333333333332E-3</v>
      </c>
      <c r="X14">
        <v>100</v>
      </c>
      <c r="Y14">
        <v>1</v>
      </c>
      <c r="Z14">
        <v>10000</v>
      </c>
      <c r="AA14">
        <v>1</v>
      </c>
      <c r="AB14">
        <v>1</v>
      </c>
      <c r="AC14">
        <v>100</v>
      </c>
      <c r="AD14">
        <v>1.5</v>
      </c>
      <c r="AE14">
        <v>0</v>
      </c>
      <c r="AF14">
        <v>0</v>
      </c>
      <c r="AG14">
        <v>6667</v>
      </c>
      <c r="AH14">
        <v>2</v>
      </c>
      <c r="AQ14">
        <v>50</v>
      </c>
      <c r="AR14">
        <v>0.75</v>
      </c>
      <c r="AW14">
        <v>50</v>
      </c>
      <c r="AX14">
        <v>0.75</v>
      </c>
    </row>
    <row r="15" spans="1:64" x14ac:dyDescent="0.3">
      <c r="A15">
        <v>1</v>
      </c>
      <c r="B15" s="4">
        <v>44550</v>
      </c>
      <c r="C15" s="4">
        <v>44596</v>
      </c>
      <c r="D15">
        <v>5</v>
      </c>
      <c r="E15" t="s">
        <v>126</v>
      </c>
      <c r="F15">
        <v>14</v>
      </c>
      <c r="G15" t="s">
        <v>1149</v>
      </c>
      <c r="H15" t="s">
        <v>66</v>
      </c>
      <c r="I15" t="s">
        <v>1317</v>
      </c>
      <c r="J15" t="s">
        <v>133</v>
      </c>
      <c r="K15">
        <v>2</v>
      </c>
      <c r="L15">
        <v>2</v>
      </c>
      <c r="M15">
        <v>0</v>
      </c>
      <c r="N15">
        <v>0</v>
      </c>
      <c r="O15">
        <v>0</v>
      </c>
      <c r="P15" t="s">
        <v>69</v>
      </c>
      <c r="Q15">
        <v>2013</v>
      </c>
      <c r="R15" t="s">
        <v>134</v>
      </c>
      <c r="S15" t="s">
        <v>99</v>
      </c>
      <c r="T15">
        <v>66</v>
      </c>
      <c r="U15">
        <f>shark_tank__1[[#This Row],[Cleaned Yearly Revenue]]/12</f>
        <v>5.5</v>
      </c>
      <c r="X15">
        <v>50</v>
      </c>
      <c r="Y15">
        <v>5</v>
      </c>
      <c r="Z15">
        <v>1000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64" x14ac:dyDescent="0.3">
      <c r="A16">
        <v>1</v>
      </c>
      <c r="B16" s="4">
        <v>44550</v>
      </c>
      <c r="C16" s="4">
        <v>44596</v>
      </c>
      <c r="D16">
        <v>5</v>
      </c>
      <c r="E16" t="s">
        <v>126</v>
      </c>
      <c r="F16">
        <v>15</v>
      </c>
      <c r="G16" t="s">
        <v>1150</v>
      </c>
      <c r="H16" t="s">
        <v>79</v>
      </c>
      <c r="I16" t="s">
        <v>136</v>
      </c>
      <c r="J16" t="s">
        <v>137</v>
      </c>
      <c r="K16">
        <v>2</v>
      </c>
      <c r="L16">
        <v>1</v>
      </c>
      <c r="M16">
        <v>1</v>
      </c>
      <c r="N16">
        <v>0</v>
      </c>
      <c r="O16">
        <v>1</v>
      </c>
      <c r="P16" t="s">
        <v>69</v>
      </c>
      <c r="Q16">
        <v>2019</v>
      </c>
      <c r="R16" t="s">
        <v>138</v>
      </c>
      <c r="S16" t="s">
        <v>99</v>
      </c>
      <c r="T16">
        <v>50</v>
      </c>
      <c r="U16">
        <f>shark_tank__1[[#This Row],[Cleaned Yearly Revenue]]/12</f>
        <v>4.166666666666667</v>
      </c>
      <c r="X16">
        <v>20</v>
      </c>
      <c r="Y16">
        <v>10</v>
      </c>
      <c r="Z16">
        <v>200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53" x14ac:dyDescent="0.3">
      <c r="A17">
        <v>1</v>
      </c>
      <c r="B17" s="4">
        <v>44550</v>
      </c>
      <c r="C17" s="4">
        <v>44596</v>
      </c>
      <c r="D17">
        <v>6</v>
      </c>
      <c r="E17" t="s">
        <v>139</v>
      </c>
      <c r="F17">
        <v>16</v>
      </c>
      <c r="G17" t="s">
        <v>1151</v>
      </c>
      <c r="H17" t="s">
        <v>66</v>
      </c>
      <c r="I17" t="s">
        <v>141</v>
      </c>
      <c r="J17" t="s">
        <v>142</v>
      </c>
      <c r="K17">
        <v>2</v>
      </c>
      <c r="L17">
        <v>1</v>
      </c>
      <c r="M17">
        <v>1</v>
      </c>
      <c r="N17">
        <v>0</v>
      </c>
      <c r="O17">
        <v>1</v>
      </c>
      <c r="P17" t="s">
        <v>69</v>
      </c>
      <c r="Q17" t="s">
        <v>1309</v>
      </c>
      <c r="R17" t="s">
        <v>143</v>
      </c>
      <c r="S17" t="s">
        <v>144</v>
      </c>
      <c r="T17">
        <v>72</v>
      </c>
      <c r="U17">
        <f>shark_tank__1[[#This Row],[Cleaned Yearly Revenue]]/12</f>
        <v>6</v>
      </c>
      <c r="X17">
        <v>45</v>
      </c>
      <c r="Y17">
        <v>5</v>
      </c>
      <c r="Z17">
        <v>900</v>
      </c>
      <c r="AA17">
        <v>1</v>
      </c>
      <c r="AB17">
        <v>1</v>
      </c>
      <c r="AC17">
        <v>100</v>
      </c>
      <c r="AD17">
        <v>15</v>
      </c>
      <c r="AE17">
        <v>0</v>
      </c>
      <c r="AF17">
        <v>0</v>
      </c>
      <c r="AG17">
        <v>667</v>
      </c>
      <c r="AH17">
        <v>5</v>
      </c>
      <c r="AK17">
        <v>20</v>
      </c>
      <c r="AL17">
        <v>3</v>
      </c>
      <c r="AN17">
        <v>20</v>
      </c>
      <c r="AO17">
        <v>3</v>
      </c>
      <c r="AQ17">
        <v>20</v>
      </c>
      <c r="AR17">
        <v>3</v>
      </c>
      <c r="AT17">
        <v>20</v>
      </c>
      <c r="AU17">
        <v>3</v>
      </c>
      <c r="AW17">
        <v>20</v>
      </c>
      <c r="AX17">
        <v>3</v>
      </c>
    </row>
    <row r="18" spans="1:53" x14ac:dyDescent="0.3">
      <c r="A18">
        <v>1</v>
      </c>
      <c r="B18" s="4">
        <v>44550</v>
      </c>
      <c r="C18" s="4">
        <v>44596</v>
      </c>
      <c r="D18">
        <v>6</v>
      </c>
      <c r="E18" t="s">
        <v>139</v>
      </c>
      <c r="F18">
        <v>17</v>
      </c>
      <c r="G18" t="s">
        <v>145</v>
      </c>
      <c r="H18" t="s">
        <v>89</v>
      </c>
      <c r="I18" t="s">
        <v>146</v>
      </c>
      <c r="J18" t="s">
        <v>147</v>
      </c>
      <c r="K18">
        <v>2</v>
      </c>
      <c r="L18">
        <v>1</v>
      </c>
      <c r="M18">
        <v>1</v>
      </c>
      <c r="N18">
        <v>0</v>
      </c>
      <c r="O18">
        <v>1</v>
      </c>
      <c r="P18" t="s">
        <v>69</v>
      </c>
      <c r="Q18" t="s">
        <v>1309</v>
      </c>
      <c r="R18" t="s">
        <v>76</v>
      </c>
      <c r="S18" t="s">
        <v>77</v>
      </c>
      <c r="T18">
        <v>115</v>
      </c>
      <c r="U18">
        <f>shark_tank__1[[#This Row],[Cleaned Yearly Revenue]]/12</f>
        <v>9.5833333333333339</v>
      </c>
      <c r="X18">
        <v>50</v>
      </c>
      <c r="Y18">
        <v>10</v>
      </c>
      <c r="Z18">
        <v>500</v>
      </c>
      <c r="AA18">
        <v>1</v>
      </c>
      <c r="AB18">
        <v>1</v>
      </c>
      <c r="AC18">
        <v>50</v>
      </c>
      <c r="AD18">
        <v>20</v>
      </c>
      <c r="AE18">
        <v>0</v>
      </c>
      <c r="AF18">
        <v>0</v>
      </c>
      <c r="AG18">
        <v>250</v>
      </c>
      <c r="AH18">
        <v>1</v>
      </c>
      <c r="AN18">
        <v>50</v>
      </c>
      <c r="AO18">
        <v>20</v>
      </c>
    </row>
    <row r="19" spans="1:53" x14ac:dyDescent="0.3">
      <c r="A19">
        <v>1</v>
      </c>
      <c r="B19" s="4">
        <v>44550</v>
      </c>
      <c r="C19" s="4">
        <v>44596</v>
      </c>
      <c r="D19">
        <v>6</v>
      </c>
      <c r="E19" t="s">
        <v>139</v>
      </c>
      <c r="F19">
        <v>18</v>
      </c>
      <c r="G19" t="s">
        <v>148</v>
      </c>
      <c r="H19" t="s">
        <v>79</v>
      </c>
      <c r="I19" t="s">
        <v>149</v>
      </c>
      <c r="J19" t="s">
        <v>150</v>
      </c>
      <c r="K19">
        <v>1</v>
      </c>
      <c r="L19">
        <v>0</v>
      </c>
      <c r="M19">
        <v>1</v>
      </c>
      <c r="N19">
        <v>0</v>
      </c>
      <c r="O19">
        <v>0</v>
      </c>
      <c r="P19" t="s">
        <v>69</v>
      </c>
      <c r="Q19">
        <v>2019</v>
      </c>
      <c r="R19" t="s">
        <v>143</v>
      </c>
      <c r="S19" t="s">
        <v>144</v>
      </c>
      <c r="T19">
        <v>107</v>
      </c>
      <c r="U19">
        <f>shark_tank__1[[#This Row],[Cleaned Yearly Revenue]]/12</f>
        <v>8.9166666666666661</v>
      </c>
      <c r="X19">
        <v>100</v>
      </c>
      <c r="Y19">
        <v>1</v>
      </c>
      <c r="Z19">
        <v>10000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53" x14ac:dyDescent="0.3">
      <c r="A20">
        <v>1</v>
      </c>
      <c r="B20" s="4">
        <v>44550</v>
      </c>
      <c r="C20" s="4">
        <v>44596</v>
      </c>
      <c r="D20">
        <v>7</v>
      </c>
      <c r="E20" t="s">
        <v>151</v>
      </c>
      <c r="F20">
        <v>19</v>
      </c>
      <c r="G20" t="s">
        <v>1152</v>
      </c>
      <c r="H20" t="s">
        <v>89</v>
      </c>
      <c r="I20" t="s">
        <v>153</v>
      </c>
      <c r="J20" t="s">
        <v>154</v>
      </c>
      <c r="K20">
        <v>2</v>
      </c>
      <c r="L20">
        <v>1</v>
      </c>
      <c r="M20">
        <v>1</v>
      </c>
      <c r="N20">
        <v>0</v>
      </c>
      <c r="O20">
        <v>1</v>
      </c>
      <c r="P20" t="s">
        <v>69</v>
      </c>
      <c r="Q20">
        <v>2020</v>
      </c>
      <c r="R20" t="s">
        <v>155</v>
      </c>
      <c r="S20" t="s">
        <v>156</v>
      </c>
      <c r="T20">
        <v>1300</v>
      </c>
      <c r="U20">
        <f>shark_tank__1[[#This Row],[Cleaned Yearly Revenue]]/12</f>
        <v>108.33333333333333</v>
      </c>
      <c r="X20">
        <v>100</v>
      </c>
      <c r="Y20">
        <v>2</v>
      </c>
      <c r="Z20">
        <v>5000</v>
      </c>
      <c r="AA20">
        <v>1</v>
      </c>
      <c r="AB20">
        <v>1</v>
      </c>
      <c r="AC20">
        <v>100</v>
      </c>
      <c r="AD20">
        <v>4</v>
      </c>
      <c r="AE20">
        <v>0</v>
      </c>
      <c r="AF20">
        <v>0</v>
      </c>
      <c r="AG20">
        <v>2500</v>
      </c>
      <c r="AH20">
        <v>2</v>
      </c>
      <c r="AK20">
        <v>50</v>
      </c>
      <c r="AL20">
        <v>2</v>
      </c>
      <c r="AW20">
        <v>50</v>
      </c>
      <c r="AX20">
        <v>2</v>
      </c>
    </row>
    <row r="21" spans="1:53" x14ac:dyDescent="0.3">
      <c r="A21">
        <v>1</v>
      </c>
      <c r="B21" s="4">
        <v>44550</v>
      </c>
      <c r="C21" s="4">
        <v>44596</v>
      </c>
      <c r="D21">
        <v>7</v>
      </c>
      <c r="E21" t="s">
        <v>151</v>
      </c>
      <c r="F21">
        <v>20</v>
      </c>
      <c r="G21" t="s">
        <v>1318</v>
      </c>
      <c r="H21" t="s">
        <v>89</v>
      </c>
      <c r="I21" t="s">
        <v>1319</v>
      </c>
      <c r="J21" t="s">
        <v>159</v>
      </c>
      <c r="K21">
        <v>1</v>
      </c>
      <c r="L21">
        <v>1</v>
      </c>
      <c r="M21">
        <v>0</v>
      </c>
      <c r="N21">
        <v>0</v>
      </c>
      <c r="O21">
        <v>0</v>
      </c>
      <c r="P21" t="s">
        <v>69</v>
      </c>
      <c r="Q21">
        <v>2018</v>
      </c>
      <c r="R21" t="s">
        <v>76</v>
      </c>
      <c r="S21" t="s">
        <v>77</v>
      </c>
      <c r="T21">
        <v>12</v>
      </c>
      <c r="U21">
        <f>shark_tank__1[[#This Row],[Cleaned Yearly Revenue]]/12</f>
        <v>1</v>
      </c>
      <c r="X21">
        <v>75</v>
      </c>
      <c r="Y21">
        <v>1</v>
      </c>
      <c r="Z21">
        <v>7500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53" x14ac:dyDescent="0.3">
      <c r="A22">
        <v>1</v>
      </c>
      <c r="B22" s="4">
        <v>44550</v>
      </c>
      <c r="C22" s="4">
        <v>44596</v>
      </c>
      <c r="D22">
        <v>7</v>
      </c>
      <c r="E22" t="s">
        <v>151</v>
      </c>
      <c r="F22">
        <v>21</v>
      </c>
      <c r="G22" t="s">
        <v>160</v>
      </c>
      <c r="H22" t="s">
        <v>89</v>
      </c>
      <c r="I22" t="s">
        <v>1320</v>
      </c>
      <c r="J22" t="s">
        <v>1309</v>
      </c>
      <c r="K22">
        <v>2</v>
      </c>
      <c r="L22">
        <v>1</v>
      </c>
      <c r="M22">
        <v>1</v>
      </c>
      <c r="N22">
        <v>0</v>
      </c>
      <c r="P22" t="s">
        <v>75</v>
      </c>
      <c r="Q22" t="s">
        <v>1309</v>
      </c>
      <c r="R22" t="s">
        <v>155</v>
      </c>
      <c r="S22" t="s">
        <v>156</v>
      </c>
      <c r="U22">
        <f>shark_tank__1[[#This Row],[Cleaned Yearly Revenue]]/12</f>
        <v>0</v>
      </c>
      <c r="X22">
        <v>5</v>
      </c>
      <c r="Y22">
        <v>10</v>
      </c>
      <c r="Z22">
        <v>50</v>
      </c>
      <c r="AA22">
        <v>1</v>
      </c>
      <c r="AB22">
        <v>1</v>
      </c>
      <c r="AC22">
        <v>5</v>
      </c>
      <c r="AD22">
        <v>10</v>
      </c>
      <c r="AE22">
        <v>0</v>
      </c>
      <c r="AF22">
        <v>0</v>
      </c>
      <c r="AG22">
        <v>50</v>
      </c>
      <c r="AH22">
        <v>2</v>
      </c>
      <c r="AQ22">
        <v>2.5</v>
      </c>
      <c r="AR22">
        <v>5</v>
      </c>
      <c r="AW22">
        <v>2.5</v>
      </c>
      <c r="AX22">
        <v>5</v>
      </c>
    </row>
    <row r="23" spans="1:53" x14ac:dyDescent="0.3">
      <c r="A23">
        <v>1</v>
      </c>
      <c r="B23" s="4">
        <v>44550</v>
      </c>
      <c r="C23" s="4">
        <v>44596</v>
      </c>
      <c r="D23">
        <v>7</v>
      </c>
      <c r="E23" t="s">
        <v>151</v>
      </c>
      <c r="F23">
        <v>22</v>
      </c>
      <c r="G23" t="s">
        <v>1153</v>
      </c>
      <c r="H23" t="s">
        <v>66</v>
      </c>
      <c r="I23" t="s">
        <v>1321</v>
      </c>
      <c r="J23" t="s">
        <v>164</v>
      </c>
      <c r="K23">
        <v>3</v>
      </c>
      <c r="L23">
        <v>1</v>
      </c>
      <c r="M23">
        <v>2</v>
      </c>
      <c r="N23">
        <v>0</v>
      </c>
      <c r="O23">
        <v>0</v>
      </c>
      <c r="P23" t="s">
        <v>69</v>
      </c>
      <c r="Q23" t="s">
        <v>1309</v>
      </c>
      <c r="R23" t="s">
        <v>165</v>
      </c>
      <c r="S23" t="s">
        <v>99</v>
      </c>
      <c r="T23">
        <v>72</v>
      </c>
      <c r="U23">
        <f>shark_tank__1[[#This Row],[Cleaned Yearly Revenue]]/12</f>
        <v>6</v>
      </c>
      <c r="X23">
        <v>50</v>
      </c>
      <c r="Y23">
        <v>7.5</v>
      </c>
      <c r="Z23">
        <v>667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53" x14ac:dyDescent="0.3">
      <c r="A24">
        <v>1</v>
      </c>
      <c r="B24" s="4">
        <v>44550</v>
      </c>
      <c r="C24" s="4">
        <v>44596</v>
      </c>
      <c r="D24">
        <v>8</v>
      </c>
      <c r="E24" t="s">
        <v>166</v>
      </c>
      <c r="F24">
        <v>23</v>
      </c>
      <c r="G24" t="s">
        <v>1154</v>
      </c>
      <c r="H24" t="s">
        <v>66</v>
      </c>
      <c r="I24" t="s">
        <v>168</v>
      </c>
      <c r="J24" t="s">
        <v>169</v>
      </c>
      <c r="K24">
        <v>1</v>
      </c>
      <c r="L24">
        <v>1</v>
      </c>
      <c r="M24">
        <v>0</v>
      </c>
      <c r="N24">
        <v>0</v>
      </c>
      <c r="O24">
        <v>0</v>
      </c>
      <c r="P24" t="s">
        <v>69</v>
      </c>
      <c r="Q24" t="s">
        <v>1309</v>
      </c>
      <c r="R24" t="s">
        <v>170</v>
      </c>
      <c r="S24" t="s">
        <v>171</v>
      </c>
      <c r="T24">
        <v>247.2</v>
      </c>
      <c r="U24">
        <f>shark_tank__1[[#This Row],[Cleaned Yearly Revenue]]/12</f>
        <v>20.599999999999998</v>
      </c>
      <c r="V24">
        <v>51</v>
      </c>
      <c r="X24">
        <v>50</v>
      </c>
      <c r="Y24">
        <v>2.5</v>
      </c>
      <c r="Z24">
        <v>2000</v>
      </c>
      <c r="AA24">
        <v>1</v>
      </c>
      <c r="AB24">
        <v>1</v>
      </c>
      <c r="AC24">
        <v>50</v>
      </c>
      <c r="AD24">
        <v>2.5</v>
      </c>
      <c r="AE24">
        <v>0</v>
      </c>
      <c r="AF24">
        <v>0</v>
      </c>
      <c r="AG24">
        <v>2000</v>
      </c>
      <c r="AH24">
        <v>2</v>
      </c>
      <c r="AK24">
        <v>25</v>
      </c>
      <c r="AL24">
        <v>1.25</v>
      </c>
      <c r="AW24">
        <v>25</v>
      </c>
      <c r="AX24">
        <v>1.25</v>
      </c>
    </row>
    <row r="25" spans="1:53" x14ac:dyDescent="0.3">
      <c r="A25">
        <v>1</v>
      </c>
      <c r="B25" s="4">
        <v>44550</v>
      </c>
      <c r="C25" s="4">
        <v>44596</v>
      </c>
      <c r="D25">
        <v>8</v>
      </c>
      <c r="E25" t="s">
        <v>166</v>
      </c>
      <c r="F25">
        <v>24</v>
      </c>
      <c r="G25" t="s">
        <v>1155</v>
      </c>
      <c r="H25" t="s">
        <v>173</v>
      </c>
      <c r="I25" t="s">
        <v>174</v>
      </c>
      <c r="J25" t="s">
        <v>175</v>
      </c>
      <c r="K25">
        <v>2</v>
      </c>
      <c r="L25">
        <v>1</v>
      </c>
      <c r="M25">
        <v>1</v>
      </c>
      <c r="N25">
        <v>0</v>
      </c>
      <c r="O25">
        <v>0</v>
      </c>
      <c r="P25" t="s">
        <v>75</v>
      </c>
      <c r="Q25" t="s">
        <v>1309</v>
      </c>
      <c r="R25" t="s">
        <v>143</v>
      </c>
      <c r="S25" t="s">
        <v>144</v>
      </c>
      <c r="U25">
        <f>shark_tank__1[[#This Row],[Cleaned Yearly Revenue]]/12</f>
        <v>0</v>
      </c>
      <c r="X25">
        <v>56</v>
      </c>
      <c r="Y25">
        <v>7.5</v>
      </c>
      <c r="Z25">
        <v>747</v>
      </c>
      <c r="AA25">
        <v>1</v>
      </c>
      <c r="AB25">
        <v>1</v>
      </c>
      <c r="AC25">
        <v>56</v>
      </c>
      <c r="AD25">
        <v>33.33</v>
      </c>
      <c r="AE25">
        <v>0</v>
      </c>
      <c r="AF25">
        <v>0</v>
      </c>
      <c r="AG25">
        <v>168</v>
      </c>
      <c r="AH25">
        <v>2</v>
      </c>
      <c r="AQ25">
        <v>28</v>
      </c>
      <c r="AR25">
        <v>16.66</v>
      </c>
      <c r="AZ25">
        <v>28</v>
      </c>
      <c r="BA25">
        <v>16.66</v>
      </c>
    </row>
    <row r="26" spans="1:53" x14ac:dyDescent="0.3">
      <c r="A26">
        <v>1</v>
      </c>
      <c r="B26" s="4">
        <v>44550</v>
      </c>
      <c r="C26" s="4">
        <v>44596</v>
      </c>
      <c r="D26">
        <v>8</v>
      </c>
      <c r="E26" t="s">
        <v>166</v>
      </c>
      <c r="F26">
        <v>25</v>
      </c>
      <c r="G26" t="s">
        <v>1156</v>
      </c>
      <c r="H26" t="s">
        <v>72</v>
      </c>
      <c r="I26" t="s">
        <v>177</v>
      </c>
      <c r="J26" t="s">
        <v>178</v>
      </c>
      <c r="K26">
        <v>4</v>
      </c>
      <c r="L26">
        <v>4</v>
      </c>
      <c r="M26">
        <v>0</v>
      </c>
      <c r="N26">
        <v>0</v>
      </c>
      <c r="O26">
        <v>0</v>
      </c>
      <c r="P26" t="s">
        <v>69</v>
      </c>
      <c r="Q26" t="s">
        <v>1309</v>
      </c>
      <c r="R26" t="s">
        <v>179</v>
      </c>
      <c r="S26" t="s">
        <v>77</v>
      </c>
      <c r="T26">
        <v>0</v>
      </c>
      <c r="U26">
        <f>shark_tank__1[[#This Row],[Cleaned Yearly Revenue]]/12</f>
        <v>0</v>
      </c>
      <c r="X26">
        <v>30</v>
      </c>
      <c r="Y26">
        <v>3</v>
      </c>
      <c r="Z26">
        <v>1000</v>
      </c>
      <c r="AA26">
        <v>1</v>
      </c>
      <c r="AB26">
        <v>1</v>
      </c>
      <c r="AC26">
        <v>30</v>
      </c>
      <c r="AD26">
        <v>6</v>
      </c>
      <c r="AE26">
        <v>0</v>
      </c>
      <c r="AF26">
        <v>0</v>
      </c>
      <c r="AG26">
        <v>500</v>
      </c>
      <c r="AH26">
        <v>1</v>
      </c>
      <c r="AK26">
        <v>30</v>
      </c>
      <c r="AL26">
        <v>6</v>
      </c>
    </row>
    <row r="27" spans="1:53" x14ac:dyDescent="0.3">
      <c r="A27">
        <v>1</v>
      </c>
      <c r="B27" s="4">
        <v>44550</v>
      </c>
      <c r="C27" s="4">
        <v>44596</v>
      </c>
      <c r="D27">
        <v>9</v>
      </c>
      <c r="E27" t="s">
        <v>180</v>
      </c>
      <c r="F27">
        <v>26</v>
      </c>
      <c r="G27" t="s">
        <v>181</v>
      </c>
      <c r="H27" t="s">
        <v>182</v>
      </c>
      <c r="I27" t="s">
        <v>183</v>
      </c>
      <c r="J27" t="s">
        <v>184</v>
      </c>
      <c r="K27">
        <v>4</v>
      </c>
      <c r="L27">
        <v>4</v>
      </c>
      <c r="M27">
        <v>0</v>
      </c>
      <c r="N27">
        <v>0</v>
      </c>
      <c r="O27">
        <v>0</v>
      </c>
      <c r="P27" t="s">
        <v>75</v>
      </c>
      <c r="Q27">
        <v>2019</v>
      </c>
      <c r="R27" t="s">
        <v>185</v>
      </c>
      <c r="S27" t="s">
        <v>186</v>
      </c>
      <c r="U27">
        <f>shark_tank__1[[#This Row],[Cleaned Yearly Revenue]]/12</f>
        <v>0</v>
      </c>
      <c r="X27">
        <v>50</v>
      </c>
      <c r="Y27">
        <v>5</v>
      </c>
      <c r="Z27">
        <v>1000</v>
      </c>
      <c r="AA27">
        <v>1</v>
      </c>
      <c r="AB27">
        <v>1</v>
      </c>
      <c r="AC27">
        <v>50</v>
      </c>
      <c r="AD27">
        <v>7</v>
      </c>
      <c r="AE27">
        <v>0</v>
      </c>
      <c r="AF27">
        <v>0</v>
      </c>
      <c r="AG27">
        <v>714</v>
      </c>
      <c r="AH27">
        <v>2</v>
      </c>
      <c r="AN27">
        <v>25</v>
      </c>
      <c r="AO27">
        <v>3.5</v>
      </c>
      <c r="AW27">
        <v>25</v>
      </c>
      <c r="AX27">
        <v>3.5</v>
      </c>
    </row>
    <row r="28" spans="1:53" x14ac:dyDescent="0.3">
      <c r="A28">
        <v>1</v>
      </c>
      <c r="B28" s="4">
        <v>44550</v>
      </c>
      <c r="C28" s="4">
        <v>44596</v>
      </c>
      <c r="D28">
        <v>9</v>
      </c>
      <c r="E28" t="s">
        <v>180</v>
      </c>
      <c r="F28">
        <v>27</v>
      </c>
      <c r="G28" t="s">
        <v>187</v>
      </c>
      <c r="H28" t="s">
        <v>182</v>
      </c>
      <c r="I28" t="s">
        <v>188</v>
      </c>
      <c r="J28" t="s">
        <v>189</v>
      </c>
      <c r="K28">
        <v>2</v>
      </c>
      <c r="L28">
        <v>1</v>
      </c>
      <c r="M28">
        <v>1</v>
      </c>
      <c r="N28">
        <v>0</v>
      </c>
      <c r="O28">
        <v>1</v>
      </c>
      <c r="P28" t="s">
        <v>75</v>
      </c>
      <c r="Q28">
        <v>2020</v>
      </c>
      <c r="R28" t="s">
        <v>190</v>
      </c>
      <c r="S28" t="s">
        <v>191</v>
      </c>
      <c r="T28">
        <v>300</v>
      </c>
      <c r="U28">
        <f>shark_tank__1[[#This Row],[Cleaned Yearly Revenue]]/12</f>
        <v>25</v>
      </c>
      <c r="V28">
        <v>50</v>
      </c>
      <c r="X28">
        <v>50</v>
      </c>
      <c r="Y28">
        <v>2.5</v>
      </c>
      <c r="Z28">
        <v>2000</v>
      </c>
      <c r="AA28">
        <v>1</v>
      </c>
      <c r="AB28">
        <v>1</v>
      </c>
      <c r="AC28">
        <v>50</v>
      </c>
      <c r="AD28">
        <v>10</v>
      </c>
      <c r="AE28">
        <v>0</v>
      </c>
      <c r="AF28">
        <v>0</v>
      </c>
      <c r="AG28">
        <v>500</v>
      </c>
      <c r="AH28">
        <v>2</v>
      </c>
      <c r="AW28">
        <v>25</v>
      </c>
      <c r="AX28">
        <v>5</v>
      </c>
      <c r="AZ28">
        <v>25</v>
      </c>
      <c r="BA28">
        <v>5</v>
      </c>
    </row>
    <row r="29" spans="1:53" x14ac:dyDescent="0.3">
      <c r="A29">
        <v>1</v>
      </c>
      <c r="B29" s="4">
        <v>44550</v>
      </c>
      <c r="C29" s="4">
        <v>44596</v>
      </c>
      <c r="D29">
        <v>9</v>
      </c>
      <c r="E29" t="s">
        <v>180</v>
      </c>
      <c r="F29">
        <v>28</v>
      </c>
      <c r="G29" t="s">
        <v>1157</v>
      </c>
      <c r="H29" t="s">
        <v>66</v>
      </c>
      <c r="I29" t="s">
        <v>1322</v>
      </c>
      <c r="J29" t="s">
        <v>194</v>
      </c>
      <c r="K29">
        <v>2</v>
      </c>
      <c r="L29">
        <v>1</v>
      </c>
      <c r="M29">
        <v>1</v>
      </c>
      <c r="N29">
        <v>0</v>
      </c>
      <c r="O29">
        <v>1</v>
      </c>
      <c r="P29" t="s">
        <v>69</v>
      </c>
      <c r="Q29" t="s">
        <v>1309</v>
      </c>
      <c r="R29" t="s">
        <v>195</v>
      </c>
      <c r="S29" t="s">
        <v>196</v>
      </c>
      <c r="T29">
        <v>1920</v>
      </c>
      <c r="U29">
        <f>shark_tank__1[[#This Row],[Cleaned Yearly Revenue]]/12</f>
        <v>160</v>
      </c>
      <c r="V29">
        <v>3</v>
      </c>
      <c r="X29">
        <v>100</v>
      </c>
      <c r="Y29">
        <v>5</v>
      </c>
      <c r="Z29">
        <v>2000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53" x14ac:dyDescent="0.3">
      <c r="A30">
        <v>1</v>
      </c>
      <c r="B30" s="4">
        <v>44550</v>
      </c>
      <c r="C30" s="4">
        <v>44596</v>
      </c>
      <c r="D30">
        <v>10</v>
      </c>
      <c r="E30" t="s">
        <v>197</v>
      </c>
      <c r="F30">
        <v>29</v>
      </c>
      <c r="G30" t="s">
        <v>198</v>
      </c>
      <c r="H30" t="s">
        <v>79</v>
      </c>
      <c r="I30" t="s">
        <v>1323</v>
      </c>
      <c r="J30" t="s">
        <v>200</v>
      </c>
      <c r="K30">
        <v>2</v>
      </c>
      <c r="L30">
        <v>0</v>
      </c>
      <c r="M30">
        <v>2</v>
      </c>
      <c r="N30">
        <v>0</v>
      </c>
      <c r="O30">
        <v>0</v>
      </c>
      <c r="P30" t="s">
        <v>75</v>
      </c>
      <c r="Q30">
        <v>2021</v>
      </c>
      <c r="R30" t="s">
        <v>76</v>
      </c>
      <c r="S30" t="s">
        <v>77</v>
      </c>
      <c r="T30">
        <v>0</v>
      </c>
      <c r="U30">
        <f>shark_tank__1[[#This Row],[Cleaned Yearly Revenue]]/12</f>
        <v>0</v>
      </c>
      <c r="V30">
        <v>70</v>
      </c>
      <c r="X30">
        <v>25</v>
      </c>
      <c r="Y30">
        <v>5</v>
      </c>
      <c r="Z30">
        <v>500</v>
      </c>
      <c r="AA30">
        <v>1</v>
      </c>
      <c r="AB30">
        <v>1</v>
      </c>
      <c r="AC30">
        <v>25</v>
      </c>
      <c r="AD30">
        <v>20</v>
      </c>
      <c r="AE30">
        <v>0</v>
      </c>
      <c r="AF30">
        <v>0</v>
      </c>
      <c r="AG30">
        <v>125</v>
      </c>
      <c r="AH30">
        <v>3</v>
      </c>
      <c r="AN30">
        <v>8.33</v>
      </c>
      <c r="AO30">
        <v>6.66</v>
      </c>
      <c r="AW30">
        <v>8.33</v>
      </c>
      <c r="AX30">
        <v>6.66</v>
      </c>
      <c r="AZ30">
        <v>8.33</v>
      </c>
      <c r="BA30">
        <v>6.66</v>
      </c>
    </row>
    <row r="31" spans="1:53" x14ac:dyDescent="0.3">
      <c r="A31">
        <v>1</v>
      </c>
      <c r="B31" s="4">
        <v>44550</v>
      </c>
      <c r="C31" s="4">
        <v>44596</v>
      </c>
      <c r="D31">
        <v>10</v>
      </c>
      <c r="E31" t="s">
        <v>197</v>
      </c>
      <c r="F31">
        <v>30</v>
      </c>
      <c r="G31" t="s">
        <v>201</v>
      </c>
      <c r="H31" t="s">
        <v>66</v>
      </c>
      <c r="I31" t="s">
        <v>202</v>
      </c>
      <c r="J31" t="s">
        <v>203</v>
      </c>
      <c r="K31">
        <v>3</v>
      </c>
      <c r="L31">
        <v>3</v>
      </c>
      <c r="M31">
        <v>0</v>
      </c>
      <c r="N31">
        <v>0</v>
      </c>
      <c r="O31">
        <v>0</v>
      </c>
      <c r="P31" t="s">
        <v>69</v>
      </c>
      <c r="Q31" t="s">
        <v>1309</v>
      </c>
      <c r="R31" t="s">
        <v>165</v>
      </c>
      <c r="S31" t="s">
        <v>99</v>
      </c>
      <c r="T31">
        <v>130</v>
      </c>
      <c r="U31">
        <f>shark_tank__1[[#This Row],[Cleaned Yearly Revenue]]/12</f>
        <v>10.833333333333334</v>
      </c>
      <c r="V31">
        <v>30</v>
      </c>
      <c r="X31">
        <v>30</v>
      </c>
      <c r="Y31">
        <v>5</v>
      </c>
      <c r="Z31">
        <v>600</v>
      </c>
      <c r="AA31">
        <v>1</v>
      </c>
      <c r="AB31">
        <v>1</v>
      </c>
      <c r="AC31">
        <v>30</v>
      </c>
      <c r="AD31">
        <v>20</v>
      </c>
      <c r="AE31">
        <v>0</v>
      </c>
      <c r="AF31">
        <v>0</v>
      </c>
      <c r="AG31">
        <v>150</v>
      </c>
      <c r="AH31">
        <v>3</v>
      </c>
      <c r="AQ31">
        <v>10</v>
      </c>
      <c r="AR31">
        <v>6.66</v>
      </c>
      <c r="AW31">
        <v>10</v>
      </c>
      <c r="AX31">
        <v>6.66</v>
      </c>
      <c r="AZ31">
        <v>10</v>
      </c>
      <c r="BA31">
        <v>6.66</v>
      </c>
    </row>
    <row r="32" spans="1:53" x14ac:dyDescent="0.3">
      <c r="A32">
        <v>1</v>
      </c>
      <c r="B32" s="4">
        <v>44550</v>
      </c>
      <c r="C32" s="4">
        <v>44596</v>
      </c>
      <c r="D32">
        <v>10</v>
      </c>
      <c r="E32" t="s">
        <v>197</v>
      </c>
      <c r="F32">
        <v>31</v>
      </c>
      <c r="G32" t="s">
        <v>1158</v>
      </c>
      <c r="H32" t="s">
        <v>89</v>
      </c>
      <c r="I32" t="s">
        <v>1324</v>
      </c>
      <c r="J32" t="s">
        <v>206</v>
      </c>
      <c r="K32">
        <v>3</v>
      </c>
      <c r="L32">
        <v>2</v>
      </c>
      <c r="M32">
        <v>1</v>
      </c>
      <c r="N32">
        <v>0</v>
      </c>
      <c r="P32" t="s">
        <v>75</v>
      </c>
      <c r="Q32" t="s">
        <v>1309</v>
      </c>
      <c r="R32" t="s">
        <v>165</v>
      </c>
      <c r="S32" t="s">
        <v>99</v>
      </c>
      <c r="U32">
        <f>shark_tank__1[[#This Row],[Cleaned Yearly Revenue]]/12</f>
        <v>0</v>
      </c>
      <c r="X32">
        <v>30</v>
      </c>
      <c r="Y32">
        <v>2</v>
      </c>
      <c r="Z32">
        <v>1500</v>
      </c>
      <c r="AA32">
        <v>1</v>
      </c>
      <c r="AB32">
        <v>1</v>
      </c>
      <c r="AC32">
        <v>30</v>
      </c>
      <c r="AD32">
        <v>3</v>
      </c>
      <c r="AE32">
        <v>0</v>
      </c>
      <c r="AF32">
        <v>0</v>
      </c>
      <c r="AG32">
        <v>1000</v>
      </c>
      <c r="AH32">
        <v>3</v>
      </c>
      <c r="AK32">
        <v>10</v>
      </c>
      <c r="AL32">
        <v>1</v>
      </c>
      <c r="AW32">
        <v>10</v>
      </c>
      <c r="AX32">
        <v>1</v>
      </c>
      <c r="AZ32">
        <v>10</v>
      </c>
      <c r="BA32">
        <v>1</v>
      </c>
    </row>
    <row r="33" spans="1:54" x14ac:dyDescent="0.3">
      <c r="A33">
        <v>1</v>
      </c>
      <c r="B33" s="4">
        <v>44550</v>
      </c>
      <c r="C33" s="4">
        <v>44596</v>
      </c>
      <c r="D33">
        <v>11</v>
      </c>
      <c r="E33" t="s">
        <v>207</v>
      </c>
      <c r="F33">
        <v>32</v>
      </c>
      <c r="G33" t="s">
        <v>1325</v>
      </c>
      <c r="H33" t="s">
        <v>66</v>
      </c>
      <c r="I33" t="s">
        <v>209</v>
      </c>
      <c r="J33" t="s">
        <v>210</v>
      </c>
      <c r="K33">
        <v>1</v>
      </c>
      <c r="L33">
        <v>1</v>
      </c>
      <c r="M33">
        <v>0</v>
      </c>
      <c r="N33">
        <v>0</v>
      </c>
      <c r="O33">
        <v>0</v>
      </c>
      <c r="P33" t="s">
        <v>69</v>
      </c>
      <c r="Q33">
        <v>2014</v>
      </c>
      <c r="R33" t="s">
        <v>70</v>
      </c>
      <c r="S33" t="s">
        <v>70</v>
      </c>
      <c r="T33">
        <v>80</v>
      </c>
      <c r="U33">
        <f>shark_tank__1[[#This Row],[Cleaned Yearly Revenue]]/12</f>
        <v>6.666666666666667</v>
      </c>
      <c r="X33">
        <v>30000</v>
      </c>
      <c r="Y33">
        <v>25</v>
      </c>
      <c r="Z33">
        <v>120000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54" x14ac:dyDescent="0.3">
      <c r="A34">
        <v>1</v>
      </c>
      <c r="B34" s="4">
        <v>44550</v>
      </c>
      <c r="C34" s="4">
        <v>44596</v>
      </c>
      <c r="D34">
        <v>11</v>
      </c>
      <c r="E34" t="s">
        <v>207</v>
      </c>
      <c r="F34">
        <v>33</v>
      </c>
      <c r="G34" t="s">
        <v>1326</v>
      </c>
      <c r="H34" t="s">
        <v>182</v>
      </c>
      <c r="I34" t="s">
        <v>212</v>
      </c>
      <c r="J34" t="s">
        <v>213</v>
      </c>
      <c r="K34">
        <v>3</v>
      </c>
      <c r="L34">
        <v>3</v>
      </c>
      <c r="M34">
        <v>0</v>
      </c>
      <c r="N34">
        <v>0</v>
      </c>
      <c r="O34">
        <v>0</v>
      </c>
      <c r="P34" t="s">
        <v>69</v>
      </c>
      <c r="Q34">
        <v>2019</v>
      </c>
      <c r="R34" t="s">
        <v>70</v>
      </c>
      <c r="S34" t="s">
        <v>70</v>
      </c>
      <c r="T34">
        <v>72</v>
      </c>
      <c r="U34">
        <f>shark_tank__1[[#This Row],[Cleaned Yearly Revenue]]/12</f>
        <v>6</v>
      </c>
      <c r="X34">
        <v>50</v>
      </c>
      <c r="Y34">
        <v>5</v>
      </c>
      <c r="Z34">
        <v>1000</v>
      </c>
      <c r="AA34">
        <v>1</v>
      </c>
      <c r="AB34">
        <v>1</v>
      </c>
      <c r="AC34">
        <v>50</v>
      </c>
      <c r="AD34">
        <v>15</v>
      </c>
      <c r="AE34">
        <v>0</v>
      </c>
      <c r="AF34">
        <v>0</v>
      </c>
      <c r="AG34">
        <v>333</v>
      </c>
      <c r="AH34">
        <v>1</v>
      </c>
      <c r="AQ34">
        <v>50</v>
      </c>
      <c r="AR34">
        <v>15</v>
      </c>
    </row>
    <row r="35" spans="1:54" x14ac:dyDescent="0.3">
      <c r="A35">
        <v>1</v>
      </c>
      <c r="B35" s="4">
        <v>44550</v>
      </c>
      <c r="C35" s="4">
        <v>44596</v>
      </c>
      <c r="D35">
        <v>11</v>
      </c>
      <c r="E35" t="s">
        <v>207</v>
      </c>
      <c r="F35">
        <v>34</v>
      </c>
      <c r="G35" t="s">
        <v>214</v>
      </c>
      <c r="H35" t="s">
        <v>79</v>
      </c>
      <c r="I35" t="s">
        <v>215</v>
      </c>
      <c r="J35" t="s">
        <v>216</v>
      </c>
      <c r="K35">
        <v>2</v>
      </c>
      <c r="L35">
        <v>1</v>
      </c>
      <c r="M35">
        <v>1</v>
      </c>
      <c r="N35">
        <v>0</v>
      </c>
      <c r="O35">
        <v>0</v>
      </c>
      <c r="P35" t="s">
        <v>75</v>
      </c>
      <c r="Q35">
        <v>2021</v>
      </c>
      <c r="R35" t="s">
        <v>138</v>
      </c>
      <c r="S35" t="s">
        <v>99</v>
      </c>
      <c r="T35">
        <v>3.8</v>
      </c>
      <c r="U35">
        <f>shark_tank__1[[#This Row],[Cleaned Yearly Revenue]]/12</f>
        <v>0.31666666666666665</v>
      </c>
      <c r="V35">
        <v>115</v>
      </c>
      <c r="X35">
        <v>30</v>
      </c>
      <c r="Y35">
        <v>10</v>
      </c>
      <c r="Z35">
        <v>300</v>
      </c>
      <c r="AA35">
        <v>1</v>
      </c>
      <c r="AB35">
        <v>1</v>
      </c>
      <c r="AC35">
        <v>30</v>
      </c>
      <c r="AD35">
        <v>20</v>
      </c>
      <c r="AE35">
        <v>0</v>
      </c>
      <c r="AF35">
        <v>0</v>
      </c>
      <c r="AG35">
        <v>150</v>
      </c>
      <c r="AH35">
        <v>2</v>
      </c>
      <c r="AN35">
        <v>15</v>
      </c>
      <c r="AO35">
        <v>10</v>
      </c>
      <c r="AW35">
        <v>15</v>
      </c>
      <c r="AX35">
        <v>10</v>
      </c>
    </row>
    <row r="36" spans="1:54" x14ac:dyDescent="0.3">
      <c r="A36">
        <v>1</v>
      </c>
      <c r="B36" s="4">
        <v>44550</v>
      </c>
      <c r="C36" s="4">
        <v>44596</v>
      </c>
      <c r="D36">
        <v>12</v>
      </c>
      <c r="E36" t="s">
        <v>217</v>
      </c>
      <c r="F36">
        <v>35</v>
      </c>
      <c r="G36" t="s">
        <v>218</v>
      </c>
      <c r="H36" t="s">
        <v>79</v>
      </c>
      <c r="I36" t="s">
        <v>219</v>
      </c>
      <c r="J36" t="s">
        <v>220</v>
      </c>
      <c r="K36">
        <v>1</v>
      </c>
      <c r="L36">
        <v>0</v>
      </c>
      <c r="M36">
        <v>1</v>
      </c>
      <c r="N36">
        <v>0</v>
      </c>
      <c r="O36">
        <v>0</v>
      </c>
      <c r="P36" t="s">
        <v>69</v>
      </c>
      <c r="Q36" t="s">
        <v>1309</v>
      </c>
      <c r="R36" t="s">
        <v>185</v>
      </c>
      <c r="S36" t="s">
        <v>186</v>
      </c>
      <c r="T36">
        <v>192</v>
      </c>
      <c r="U36">
        <f>shark_tank__1[[#This Row],[Cleaned Yearly Revenue]]/12</f>
        <v>16</v>
      </c>
      <c r="V36">
        <v>80</v>
      </c>
      <c r="X36">
        <v>75</v>
      </c>
      <c r="Y36">
        <v>4</v>
      </c>
      <c r="Z36">
        <v>1875</v>
      </c>
      <c r="AA36">
        <v>1</v>
      </c>
      <c r="AB36">
        <v>1</v>
      </c>
      <c r="AC36">
        <v>75</v>
      </c>
      <c r="AD36">
        <v>15</v>
      </c>
      <c r="AE36">
        <v>0</v>
      </c>
      <c r="AF36">
        <v>0</v>
      </c>
      <c r="AG36">
        <v>500</v>
      </c>
      <c r="AH36">
        <v>1</v>
      </c>
      <c r="AN36">
        <v>75</v>
      </c>
      <c r="AO36">
        <v>15</v>
      </c>
    </row>
    <row r="37" spans="1:54" x14ac:dyDescent="0.3">
      <c r="A37">
        <v>1</v>
      </c>
      <c r="B37" s="4">
        <v>44550</v>
      </c>
      <c r="C37" s="4">
        <v>44596</v>
      </c>
      <c r="D37">
        <v>12</v>
      </c>
      <c r="E37" t="s">
        <v>217</v>
      </c>
      <c r="F37">
        <v>36</v>
      </c>
      <c r="G37" t="s">
        <v>1160</v>
      </c>
      <c r="H37" t="s">
        <v>66</v>
      </c>
      <c r="I37" t="s">
        <v>222</v>
      </c>
      <c r="J37" t="s">
        <v>223</v>
      </c>
      <c r="K37">
        <v>2</v>
      </c>
      <c r="L37">
        <v>1</v>
      </c>
      <c r="M37">
        <v>1</v>
      </c>
      <c r="N37">
        <v>0</v>
      </c>
      <c r="O37">
        <v>1</v>
      </c>
      <c r="P37" t="s">
        <v>69</v>
      </c>
      <c r="Q37" t="s">
        <v>1309</v>
      </c>
      <c r="R37" t="s">
        <v>165</v>
      </c>
      <c r="S37" t="s">
        <v>99</v>
      </c>
      <c r="U37">
        <f>shark_tank__1[[#This Row],[Cleaned Yearly Revenue]]/12</f>
        <v>0</v>
      </c>
      <c r="X37">
        <v>40</v>
      </c>
      <c r="Y37">
        <v>3</v>
      </c>
      <c r="Z37">
        <v>1333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54" x14ac:dyDescent="0.3">
      <c r="A38">
        <v>1</v>
      </c>
      <c r="B38" s="4">
        <v>44550</v>
      </c>
      <c r="C38" s="4">
        <v>44596</v>
      </c>
      <c r="D38">
        <v>12</v>
      </c>
      <c r="E38" t="s">
        <v>217</v>
      </c>
      <c r="F38">
        <v>37</v>
      </c>
      <c r="G38" t="s">
        <v>1327</v>
      </c>
      <c r="H38" t="s">
        <v>225</v>
      </c>
      <c r="I38" t="s">
        <v>226</v>
      </c>
      <c r="J38" t="s">
        <v>227</v>
      </c>
      <c r="K38">
        <v>1</v>
      </c>
      <c r="L38">
        <v>1</v>
      </c>
      <c r="M38">
        <v>0</v>
      </c>
      <c r="N38">
        <v>0</v>
      </c>
      <c r="O38">
        <v>0</v>
      </c>
      <c r="P38" t="s">
        <v>75</v>
      </c>
      <c r="Q38" t="s">
        <v>1309</v>
      </c>
      <c r="R38" t="s">
        <v>70</v>
      </c>
      <c r="S38" t="s">
        <v>70</v>
      </c>
      <c r="U38">
        <f>shark_tank__1[[#This Row],[Cleaned Yearly Revenue]]/12</f>
        <v>0</v>
      </c>
      <c r="X38">
        <v>40</v>
      </c>
      <c r="Y38">
        <v>5</v>
      </c>
      <c r="Z38">
        <v>800</v>
      </c>
      <c r="AA38">
        <v>1</v>
      </c>
      <c r="AB38">
        <v>1</v>
      </c>
      <c r="AC38">
        <v>40</v>
      </c>
      <c r="AD38">
        <v>24</v>
      </c>
      <c r="AE38">
        <v>0</v>
      </c>
      <c r="AF38">
        <v>0</v>
      </c>
      <c r="AG38">
        <v>167</v>
      </c>
      <c r="AH38">
        <v>3</v>
      </c>
      <c r="AQ38">
        <v>13.33</v>
      </c>
      <c r="AR38">
        <v>8</v>
      </c>
      <c r="AW38">
        <v>13.33</v>
      </c>
      <c r="AX38">
        <v>8</v>
      </c>
      <c r="AZ38">
        <v>13.33</v>
      </c>
      <c r="BA38">
        <v>8</v>
      </c>
    </row>
    <row r="39" spans="1:54" x14ac:dyDescent="0.3">
      <c r="A39">
        <v>1</v>
      </c>
      <c r="B39" s="4">
        <v>44550</v>
      </c>
      <c r="C39" s="4">
        <v>44596</v>
      </c>
      <c r="D39">
        <v>13</v>
      </c>
      <c r="E39" t="s">
        <v>228</v>
      </c>
      <c r="F39">
        <v>38</v>
      </c>
      <c r="G39" t="s">
        <v>229</v>
      </c>
      <c r="H39" t="s">
        <v>89</v>
      </c>
      <c r="I39" t="s">
        <v>1328</v>
      </c>
      <c r="J39" t="s">
        <v>231</v>
      </c>
      <c r="K39">
        <v>4</v>
      </c>
      <c r="L39">
        <v>3</v>
      </c>
      <c r="M39">
        <v>1</v>
      </c>
      <c r="N39">
        <v>0</v>
      </c>
      <c r="O39">
        <v>1</v>
      </c>
      <c r="P39" t="s">
        <v>75</v>
      </c>
      <c r="Q39">
        <v>2016</v>
      </c>
      <c r="R39" t="s">
        <v>86</v>
      </c>
      <c r="S39" t="s">
        <v>87</v>
      </c>
      <c r="T39">
        <v>48</v>
      </c>
      <c r="U39">
        <f>shark_tank__1[[#This Row],[Cleaned Yearly Revenue]]/12</f>
        <v>4</v>
      </c>
      <c r="X39">
        <v>30</v>
      </c>
      <c r="Y39">
        <v>0.5</v>
      </c>
      <c r="Z39">
        <v>6000</v>
      </c>
      <c r="AA39">
        <v>1</v>
      </c>
      <c r="AB39">
        <v>1</v>
      </c>
      <c r="AC39">
        <v>105</v>
      </c>
      <c r="AD39">
        <v>3</v>
      </c>
      <c r="AE39">
        <v>0</v>
      </c>
      <c r="AF39">
        <v>0</v>
      </c>
      <c r="AG39">
        <v>3500</v>
      </c>
      <c r="AH39">
        <v>3</v>
      </c>
      <c r="AN39">
        <v>35</v>
      </c>
      <c r="AO39">
        <v>1</v>
      </c>
      <c r="AQ39">
        <v>35</v>
      </c>
      <c r="AR39">
        <v>1</v>
      </c>
      <c r="AZ39">
        <v>35</v>
      </c>
      <c r="BA39">
        <v>1</v>
      </c>
    </row>
    <row r="40" spans="1:54" x14ac:dyDescent="0.3">
      <c r="A40">
        <v>1</v>
      </c>
      <c r="B40" s="4">
        <v>44550</v>
      </c>
      <c r="C40" s="4">
        <v>44596</v>
      </c>
      <c r="D40">
        <v>13</v>
      </c>
      <c r="E40" t="s">
        <v>228</v>
      </c>
      <c r="F40">
        <v>39</v>
      </c>
      <c r="G40" t="s">
        <v>232</v>
      </c>
      <c r="H40" t="s">
        <v>182</v>
      </c>
      <c r="I40" t="s">
        <v>1329</v>
      </c>
      <c r="J40" t="s">
        <v>234</v>
      </c>
      <c r="K40">
        <v>2</v>
      </c>
      <c r="L40">
        <v>0</v>
      </c>
      <c r="M40">
        <v>2</v>
      </c>
      <c r="N40">
        <v>0</v>
      </c>
      <c r="O40">
        <v>0</v>
      </c>
      <c r="P40" t="s">
        <v>69</v>
      </c>
      <c r="Q40" t="s">
        <v>1309</v>
      </c>
      <c r="R40" t="s">
        <v>235</v>
      </c>
      <c r="S40" t="s">
        <v>236</v>
      </c>
      <c r="U40">
        <f>shark_tank__1[[#This Row],[Cleaned Yearly Revenue]]/12</f>
        <v>0</v>
      </c>
      <c r="X40">
        <v>50</v>
      </c>
      <c r="Y40">
        <v>10</v>
      </c>
      <c r="Z40">
        <v>500</v>
      </c>
      <c r="AA40">
        <v>1</v>
      </c>
      <c r="AB40">
        <v>1</v>
      </c>
      <c r="AC40">
        <v>50</v>
      </c>
      <c r="AD40">
        <v>20</v>
      </c>
      <c r="AE40">
        <v>0</v>
      </c>
      <c r="AF40">
        <v>0</v>
      </c>
      <c r="AG40">
        <v>250</v>
      </c>
      <c r="AH40">
        <v>2</v>
      </c>
      <c r="AQ40">
        <v>25</v>
      </c>
      <c r="AR40">
        <v>10</v>
      </c>
      <c r="AZ40">
        <v>25</v>
      </c>
      <c r="BA40">
        <v>10</v>
      </c>
    </row>
    <row r="41" spans="1:54" x14ac:dyDescent="0.3">
      <c r="A41">
        <v>1</v>
      </c>
      <c r="B41" s="4">
        <v>44550</v>
      </c>
      <c r="C41" s="4">
        <v>44596</v>
      </c>
      <c r="D41">
        <v>13</v>
      </c>
      <c r="E41" t="s">
        <v>228</v>
      </c>
      <c r="F41">
        <v>40</v>
      </c>
      <c r="G41" t="s">
        <v>1161</v>
      </c>
      <c r="H41" t="s">
        <v>182</v>
      </c>
      <c r="I41" t="s">
        <v>1330</v>
      </c>
      <c r="J41" t="s">
        <v>239</v>
      </c>
      <c r="K41">
        <v>1</v>
      </c>
      <c r="L41">
        <v>1</v>
      </c>
      <c r="M41">
        <v>0</v>
      </c>
      <c r="N41">
        <v>0</v>
      </c>
      <c r="O41">
        <v>0</v>
      </c>
      <c r="P41" t="s">
        <v>69</v>
      </c>
      <c r="Q41" t="s">
        <v>1309</v>
      </c>
      <c r="R41" t="s">
        <v>134</v>
      </c>
      <c r="S41" t="s">
        <v>99</v>
      </c>
      <c r="T41">
        <v>180</v>
      </c>
      <c r="U41">
        <f>shark_tank__1[[#This Row],[Cleaned Yearly Revenue]]/12</f>
        <v>15</v>
      </c>
      <c r="X41">
        <v>50</v>
      </c>
      <c r="Y41">
        <v>2</v>
      </c>
      <c r="Z41">
        <v>2500</v>
      </c>
      <c r="AA41">
        <v>1</v>
      </c>
      <c r="AB41">
        <v>1</v>
      </c>
      <c r="AC41">
        <v>100</v>
      </c>
      <c r="AD41">
        <v>10</v>
      </c>
      <c r="AE41">
        <v>0</v>
      </c>
      <c r="AF41">
        <v>0</v>
      </c>
      <c r="AG41">
        <v>1000</v>
      </c>
      <c r="AH41">
        <v>4</v>
      </c>
      <c r="AK41">
        <v>25</v>
      </c>
      <c r="AL41">
        <v>2.5</v>
      </c>
      <c r="AQ41">
        <v>25</v>
      </c>
      <c r="AR41">
        <v>2.5</v>
      </c>
      <c r="AW41">
        <v>25</v>
      </c>
      <c r="AX41">
        <v>2.5</v>
      </c>
      <c r="AZ41">
        <v>25</v>
      </c>
      <c r="BA41">
        <v>2.5</v>
      </c>
    </row>
    <row r="42" spans="1:54" x14ac:dyDescent="0.3">
      <c r="A42">
        <v>1</v>
      </c>
      <c r="B42" s="4">
        <v>44550</v>
      </c>
      <c r="C42" s="4">
        <v>44596</v>
      </c>
      <c r="D42">
        <v>14</v>
      </c>
      <c r="E42" t="s">
        <v>240</v>
      </c>
      <c r="F42">
        <v>41</v>
      </c>
      <c r="G42" t="s">
        <v>1162</v>
      </c>
      <c r="H42" t="s">
        <v>173</v>
      </c>
      <c r="I42" t="s">
        <v>242</v>
      </c>
      <c r="J42" t="s">
        <v>243</v>
      </c>
      <c r="K42">
        <v>1</v>
      </c>
      <c r="L42">
        <v>1</v>
      </c>
      <c r="M42">
        <v>0</v>
      </c>
      <c r="N42">
        <v>0</v>
      </c>
      <c r="O42">
        <v>0</v>
      </c>
      <c r="P42" t="s">
        <v>69</v>
      </c>
      <c r="Q42">
        <v>2019</v>
      </c>
      <c r="R42" t="s">
        <v>134</v>
      </c>
      <c r="S42" t="s">
        <v>99</v>
      </c>
      <c r="T42">
        <v>90</v>
      </c>
      <c r="U42">
        <f>shark_tank__1[[#This Row],[Cleaned Yearly Revenue]]/12</f>
        <v>7.5</v>
      </c>
      <c r="X42">
        <v>100</v>
      </c>
      <c r="Y42">
        <v>3</v>
      </c>
      <c r="Z42">
        <v>3333</v>
      </c>
      <c r="AA42">
        <v>1</v>
      </c>
      <c r="AB42">
        <v>1</v>
      </c>
      <c r="AC42">
        <v>100</v>
      </c>
      <c r="AD42">
        <v>6</v>
      </c>
      <c r="AE42">
        <v>0</v>
      </c>
      <c r="AF42">
        <v>0</v>
      </c>
      <c r="AG42">
        <v>1667</v>
      </c>
      <c r="AH42">
        <v>2</v>
      </c>
      <c r="AN42">
        <v>50</v>
      </c>
      <c r="AO42">
        <v>3</v>
      </c>
      <c r="AW42">
        <v>50</v>
      </c>
      <c r="AX42">
        <v>3</v>
      </c>
    </row>
    <row r="43" spans="1:54" x14ac:dyDescent="0.3">
      <c r="A43">
        <v>1</v>
      </c>
      <c r="B43" s="4">
        <v>44550</v>
      </c>
      <c r="C43" s="4">
        <v>44596</v>
      </c>
      <c r="D43">
        <v>14</v>
      </c>
      <c r="E43" t="s">
        <v>240</v>
      </c>
      <c r="F43">
        <v>42</v>
      </c>
      <c r="G43" t="s">
        <v>1163</v>
      </c>
      <c r="H43" t="s">
        <v>66</v>
      </c>
      <c r="I43" t="s">
        <v>1331</v>
      </c>
      <c r="J43" t="s">
        <v>246</v>
      </c>
      <c r="K43">
        <v>3</v>
      </c>
      <c r="L43">
        <v>2</v>
      </c>
      <c r="M43">
        <v>1</v>
      </c>
      <c r="N43">
        <v>0</v>
      </c>
      <c r="O43">
        <v>0</v>
      </c>
      <c r="P43" t="s">
        <v>69</v>
      </c>
      <c r="Q43">
        <v>2018</v>
      </c>
      <c r="R43" t="s">
        <v>247</v>
      </c>
      <c r="S43" t="s">
        <v>77</v>
      </c>
      <c r="T43">
        <v>192</v>
      </c>
      <c r="U43">
        <f>shark_tank__1[[#This Row],[Cleaned Yearly Revenue]]/12</f>
        <v>16</v>
      </c>
      <c r="X43">
        <v>100</v>
      </c>
      <c r="Y43">
        <v>3</v>
      </c>
      <c r="Z43">
        <v>3333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54" x14ac:dyDescent="0.3">
      <c r="A44">
        <v>1</v>
      </c>
      <c r="B44" s="4">
        <v>44550</v>
      </c>
      <c r="C44" s="4">
        <v>44596</v>
      </c>
      <c r="D44">
        <v>14</v>
      </c>
      <c r="E44" t="s">
        <v>240</v>
      </c>
      <c r="F44">
        <v>43</v>
      </c>
      <c r="G44" t="s">
        <v>1164</v>
      </c>
      <c r="H44" t="s">
        <v>225</v>
      </c>
      <c r="I44" t="s">
        <v>249</v>
      </c>
      <c r="J44" t="s">
        <v>250</v>
      </c>
      <c r="K44">
        <v>2</v>
      </c>
      <c r="L44">
        <v>0</v>
      </c>
      <c r="M44">
        <v>2</v>
      </c>
      <c r="N44">
        <v>0</v>
      </c>
      <c r="O44">
        <v>0</v>
      </c>
      <c r="P44" t="s">
        <v>75</v>
      </c>
      <c r="Q44" t="s">
        <v>1309</v>
      </c>
      <c r="R44" t="s">
        <v>70</v>
      </c>
      <c r="S44" t="s">
        <v>70</v>
      </c>
      <c r="T44">
        <v>0</v>
      </c>
      <c r="U44">
        <f>shark_tank__1[[#This Row],[Cleaned Yearly Revenue]]/12</f>
        <v>0</v>
      </c>
      <c r="X44">
        <v>45</v>
      </c>
      <c r="Y44">
        <v>5</v>
      </c>
      <c r="Z44">
        <v>900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54" x14ac:dyDescent="0.3">
      <c r="A45">
        <v>1</v>
      </c>
      <c r="B45" s="4">
        <v>44550</v>
      </c>
      <c r="C45" s="4">
        <v>44596</v>
      </c>
      <c r="D45">
        <v>15</v>
      </c>
      <c r="E45" t="s">
        <v>251</v>
      </c>
      <c r="F45">
        <v>44</v>
      </c>
      <c r="G45" t="s">
        <v>1165</v>
      </c>
      <c r="H45" t="s">
        <v>253</v>
      </c>
      <c r="I45" t="s">
        <v>254</v>
      </c>
      <c r="J45" t="s">
        <v>255</v>
      </c>
      <c r="K45">
        <v>3</v>
      </c>
      <c r="L45">
        <v>3</v>
      </c>
      <c r="M45">
        <v>0</v>
      </c>
      <c r="N45">
        <v>0</v>
      </c>
      <c r="O45">
        <v>0</v>
      </c>
      <c r="P45" t="s">
        <v>75</v>
      </c>
      <c r="Q45" t="s">
        <v>1309</v>
      </c>
      <c r="R45" t="s">
        <v>256</v>
      </c>
      <c r="S45" t="s">
        <v>156</v>
      </c>
      <c r="T45">
        <v>1000</v>
      </c>
      <c r="U45">
        <f>shark_tank__1[[#This Row],[Cleaned Yearly Revenue]]/12</f>
        <v>83.333333333333329</v>
      </c>
      <c r="X45">
        <v>30</v>
      </c>
      <c r="Y45">
        <v>3</v>
      </c>
      <c r="Z45">
        <v>1000</v>
      </c>
      <c r="AA45">
        <v>1</v>
      </c>
      <c r="AB45">
        <v>1</v>
      </c>
      <c r="AC45">
        <v>100</v>
      </c>
      <c r="AD45">
        <v>40</v>
      </c>
      <c r="AE45">
        <v>0</v>
      </c>
      <c r="AF45">
        <v>0</v>
      </c>
      <c r="AG45">
        <v>250</v>
      </c>
      <c r="AH45">
        <v>1</v>
      </c>
      <c r="AW45">
        <v>100</v>
      </c>
      <c r="AX45">
        <v>40</v>
      </c>
    </row>
    <row r="46" spans="1:54" x14ac:dyDescent="0.3">
      <c r="A46">
        <v>1</v>
      </c>
      <c r="B46" s="4">
        <v>44550</v>
      </c>
      <c r="C46" s="4">
        <v>44596</v>
      </c>
      <c r="D46">
        <v>15</v>
      </c>
      <c r="E46" t="s">
        <v>251</v>
      </c>
      <c r="F46">
        <v>45</v>
      </c>
      <c r="G46" t="s">
        <v>1332</v>
      </c>
      <c r="H46" t="s">
        <v>225</v>
      </c>
      <c r="I46" t="s">
        <v>1333</v>
      </c>
      <c r="J46" t="s">
        <v>259</v>
      </c>
      <c r="K46">
        <v>2</v>
      </c>
      <c r="L46">
        <v>2</v>
      </c>
      <c r="M46">
        <v>0</v>
      </c>
      <c r="N46">
        <v>0</v>
      </c>
      <c r="O46">
        <v>0</v>
      </c>
      <c r="P46" t="s">
        <v>75</v>
      </c>
      <c r="Q46">
        <v>2021</v>
      </c>
      <c r="R46" t="s">
        <v>134</v>
      </c>
      <c r="S46" t="s">
        <v>99</v>
      </c>
      <c r="U46">
        <f>shark_tank__1[[#This Row],[Cleaned Yearly Revenue]]/12</f>
        <v>0</v>
      </c>
      <c r="X46">
        <v>50</v>
      </c>
      <c r="Y46">
        <v>4</v>
      </c>
      <c r="Z46">
        <v>1250</v>
      </c>
      <c r="AA46">
        <v>1</v>
      </c>
      <c r="AB46">
        <v>1</v>
      </c>
      <c r="AC46">
        <v>25</v>
      </c>
      <c r="AD46">
        <v>25</v>
      </c>
      <c r="AE46">
        <v>25</v>
      </c>
      <c r="AF46">
        <v>0</v>
      </c>
      <c r="AG46">
        <v>100</v>
      </c>
      <c r="AH46">
        <v>1</v>
      </c>
      <c r="AZ46">
        <v>25</v>
      </c>
      <c r="BA46">
        <v>25</v>
      </c>
      <c r="BB46">
        <v>25</v>
      </c>
    </row>
    <row r="47" spans="1:54" x14ac:dyDescent="0.3">
      <c r="A47">
        <v>1</v>
      </c>
      <c r="B47" s="4">
        <v>44550</v>
      </c>
      <c r="C47" s="4">
        <v>44596</v>
      </c>
      <c r="D47">
        <v>15</v>
      </c>
      <c r="E47" t="s">
        <v>251</v>
      </c>
      <c r="F47">
        <v>46</v>
      </c>
      <c r="G47" t="s">
        <v>260</v>
      </c>
      <c r="H47" t="s">
        <v>66</v>
      </c>
      <c r="I47" t="s">
        <v>1334</v>
      </c>
      <c r="J47" t="s">
        <v>262</v>
      </c>
      <c r="K47">
        <v>3</v>
      </c>
      <c r="L47">
        <v>3</v>
      </c>
      <c r="M47">
        <v>0</v>
      </c>
      <c r="N47">
        <v>0</v>
      </c>
      <c r="O47">
        <v>0</v>
      </c>
      <c r="P47" t="s">
        <v>69</v>
      </c>
      <c r="Q47">
        <v>2019</v>
      </c>
      <c r="R47" t="s">
        <v>143</v>
      </c>
      <c r="S47" t="s">
        <v>144</v>
      </c>
      <c r="T47">
        <v>100</v>
      </c>
      <c r="U47">
        <f>shark_tank__1[[#This Row],[Cleaned Yearly Revenue]]/12</f>
        <v>8.3333333333333339</v>
      </c>
      <c r="V47">
        <v>95</v>
      </c>
      <c r="X47">
        <v>0</v>
      </c>
      <c r="Y47">
        <v>5</v>
      </c>
      <c r="Z47">
        <v>0</v>
      </c>
      <c r="AA47">
        <v>1</v>
      </c>
      <c r="AB47">
        <v>1</v>
      </c>
      <c r="AC47">
        <v>5.0000000000000002E-5</v>
      </c>
      <c r="AD47">
        <v>5</v>
      </c>
      <c r="AE47">
        <v>0</v>
      </c>
      <c r="AF47">
        <v>0</v>
      </c>
      <c r="AG47">
        <v>0</v>
      </c>
      <c r="AH47">
        <v>3</v>
      </c>
      <c r="AN47">
        <v>1.5999999999999999E-5</v>
      </c>
      <c r="AO47">
        <v>1.6659999999999999</v>
      </c>
      <c r="AQ47">
        <v>1.5999999999999999E-5</v>
      </c>
      <c r="AR47">
        <v>1.6659999999999999</v>
      </c>
      <c r="AW47">
        <v>1.5999999999999999E-5</v>
      </c>
      <c r="AX47">
        <v>1.6659999999999999</v>
      </c>
    </row>
    <row r="48" spans="1:54" x14ac:dyDescent="0.3">
      <c r="A48">
        <v>1</v>
      </c>
      <c r="B48" s="4">
        <v>44550</v>
      </c>
      <c r="C48" s="4">
        <v>44596</v>
      </c>
      <c r="D48">
        <v>16</v>
      </c>
      <c r="E48" t="s">
        <v>263</v>
      </c>
      <c r="F48">
        <v>47</v>
      </c>
      <c r="G48" t="s">
        <v>1166</v>
      </c>
      <c r="H48" t="s">
        <v>182</v>
      </c>
      <c r="I48" t="s">
        <v>265</v>
      </c>
      <c r="J48" t="s">
        <v>266</v>
      </c>
      <c r="K48">
        <v>2</v>
      </c>
      <c r="L48">
        <v>1</v>
      </c>
      <c r="M48">
        <v>1</v>
      </c>
      <c r="N48">
        <v>0</v>
      </c>
      <c r="O48">
        <v>1</v>
      </c>
      <c r="P48" t="s">
        <v>69</v>
      </c>
      <c r="Q48">
        <v>2016</v>
      </c>
      <c r="R48" t="s">
        <v>165</v>
      </c>
      <c r="S48" t="s">
        <v>99</v>
      </c>
      <c r="T48">
        <v>240</v>
      </c>
      <c r="U48">
        <f>shark_tank__1[[#This Row],[Cleaned Yearly Revenue]]/12</f>
        <v>20</v>
      </c>
      <c r="X48">
        <v>80</v>
      </c>
      <c r="Y48">
        <v>4</v>
      </c>
      <c r="Z48">
        <v>2000</v>
      </c>
      <c r="AA48">
        <v>1</v>
      </c>
      <c r="AB48">
        <v>1</v>
      </c>
      <c r="AC48">
        <v>50</v>
      </c>
      <c r="AD48">
        <v>3.5</v>
      </c>
      <c r="AE48">
        <v>30</v>
      </c>
      <c r="AF48">
        <v>0</v>
      </c>
      <c r="AG48">
        <v>1429</v>
      </c>
      <c r="AH48">
        <v>2</v>
      </c>
      <c r="AK48">
        <v>25</v>
      </c>
      <c r="AL48">
        <v>1.75</v>
      </c>
      <c r="AM48">
        <v>15</v>
      </c>
      <c r="AQ48">
        <v>25</v>
      </c>
      <c r="AR48">
        <v>1.75</v>
      </c>
      <c r="AS48">
        <v>15</v>
      </c>
    </row>
    <row r="49" spans="1:54" x14ac:dyDescent="0.3">
      <c r="A49">
        <v>1</v>
      </c>
      <c r="B49" s="4">
        <v>44550</v>
      </c>
      <c r="C49" s="4">
        <v>44596</v>
      </c>
      <c r="D49">
        <v>16</v>
      </c>
      <c r="E49" t="s">
        <v>263</v>
      </c>
      <c r="F49">
        <v>48</v>
      </c>
      <c r="G49" t="s">
        <v>1167</v>
      </c>
      <c r="H49" t="s">
        <v>268</v>
      </c>
      <c r="I49" t="s">
        <v>1335</v>
      </c>
      <c r="J49" t="s">
        <v>270</v>
      </c>
      <c r="K49">
        <v>3</v>
      </c>
      <c r="L49">
        <v>2</v>
      </c>
      <c r="M49">
        <v>1</v>
      </c>
      <c r="N49">
        <v>0</v>
      </c>
      <c r="O49">
        <v>0</v>
      </c>
      <c r="P49" t="s">
        <v>69</v>
      </c>
      <c r="Q49" t="s">
        <v>1309</v>
      </c>
      <c r="R49" t="s">
        <v>70</v>
      </c>
      <c r="S49" t="s">
        <v>70</v>
      </c>
      <c r="U49">
        <f>shark_tank__1[[#This Row],[Cleaned Yearly Revenue]]/12</f>
        <v>0</v>
      </c>
      <c r="X49">
        <v>75</v>
      </c>
      <c r="Y49">
        <v>7</v>
      </c>
      <c r="Z49">
        <v>1071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54" x14ac:dyDescent="0.3">
      <c r="A50">
        <v>1</v>
      </c>
      <c r="B50" s="4">
        <v>44550</v>
      </c>
      <c r="C50" s="4">
        <v>44596</v>
      </c>
      <c r="D50">
        <v>16</v>
      </c>
      <c r="E50" t="s">
        <v>263</v>
      </c>
      <c r="F50">
        <v>49</v>
      </c>
      <c r="G50" t="s">
        <v>1168</v>
      </c>
      <c r="H50" t="s">
        <v>66</v>
      </c>
      <c r="I50" t="s">
        <v>272</v>
      </c>
      <c r="J50" t="s">
        <v>273</v>
      </c>
      <c r="K50">
        <v>2</v>
      </c>
      <c r="L50">
        <v>1</v>
      </c>
      <c r="M50">
        <v>1</v>
      </c>
      <c r="N50">
        <v>0</v>
      </c>
      <c r="O50">
        <v>0</v>
      </c>
      <c r="P50" t="s">
        <v>75</v>
      </c>
      <c r="Q50">
        <v>2020</v>
      </c>
      <c r="R50" t="s">
        <v>185</v>
      </c>
      <c r="S50" t="s">
        <v>186</v>
      </c>
      <c r="T50">
        <v>120</v>
      </c>
      <c r="U50">
        <f>shark_tank__1[[#This Row],[Cleaned Yearly Revenue]]/12</f>
        <v>10</v>
      </c>
      <c r="X50">
        <v>75</v>
      </c>
      <c r="Y50">
        <v>4</v>
      </c>
      <c r="Z50">
        <v>1875</v>
      </c>
      <c r="AA50">
        <v>1</v>
      </c>
      <c r="AB50">
        <v>1</v>
      </c>
      <c r="AC50">
        <v>75</v>
      </c>
      <c r="AD50">
        <v>15</v>
      </c>
      <c r="AE50">
        <v>0</v>
      </c>
      <c r="AF50">
        <v>0</v>
      </c>
      <c r="AG50">
        <v>500</v>
      </c>
      <c r="AH50">
        <v>2</v>
      </c>
      <c r="AN50">
        <v>37.5</v>
      </c>
      <c r="AO50">
        <v>7.5</v>
      </c>
      <c r="AW50">
        <v>37.5</v>
      </c>
      <c r="AX50">
        <v>7.5</v>
      </c>
    </row>
    <row r="51" spans="1:54" x14ac:dyDescent="0.3">
      <c r="A51">
        <v>1</v>
      </c>
      <c r="B51" s="4">
        <v>44550</v>
      </c>
      <c r="C51" s="4">
        <v>44596</v>
      </c>
      <c r="D51">
        <v>16</v>
      </c>
      <c r="E51" t="s">
        <v>263</v>
      </c>
      <c r="F51">
        <v>50</v>
      </c>
      <c r="G51" t="s">
        <v>1169</v>
      </c>
      <c r="H51" t="s">
        <v>66</v>
      </c>
      <c r="I51" t="s">
        <v>275</v>
      </c>
      <c r="J51" t="s">
        <v>276</v>
      </c>
      <c r="K51">
        <v>4</v>
      </c>
      <c r="L51">
        <v>1</v>
      </c>
      <c r="M51">
        <v>3</v>
      </c>
      <c r="N51">
        <v>0</v>
      </c>
      <c r="O51">
        <v>1</v>
      </c>
      <c r="P51" t="s">
        <v>69</v>
      </c>
      <c r="Q51">
        <v>2017</v>
      </c>
      <c r="R51" t="s">
        <v>70</v>
      </c>
      <c r="S51" t="s">
        <v>70</v>
      </c>
      <c r="T51">
        <v>36</v>
      </c>
      <c r="U51">
        <f>shark_tank__1[[#This Row],[Cleaned Yearly Revenue]]/12</f>
        <v>3</v>
      </c>
      <c r="V51">
        <v>55</v>
      </c>
      <c r="X51">
        <v>45</v>
      </c>
      <c r="Y51">
        <v>2</v>
      </c>
      <c r="Z51">
        <v>2250</v>
      </c>
      <c r="AA51">
        <v>1</v>
      </c>
      <c r="AB51">
        <v>1</v>
      </c>
      <c r="AC51">
        <v>45</v>
      </c>
      <c r="AD51">
        <v>12</v>
      </c>
      <c r="AE51">
        <v>0</v>
      </c>
      <c r="AF51">
        <v>0</v>
      </c>
      <c r="AG51">
        <v>375</v>
      </c>
      <c r="AH51">
        <v>2</v>
      </c>
      <c r="AQ51">
        <v>22.5</v>
      </c>
      <c r="AR51">
        <v>6</v>
      </c>
      <c r="AW51">
        <v>22.5</v>
      </c>
      <c r="AX51">
        <v>6</v>
      </c>
    </row>
    <row r="52" spans="1:54" x14ac:dyDescent="0.3">
      <c r="A52">
        <v>1</v>
      </c>
      <c r="B52" s="4">
        <v>44550</v>
      </c>
      <c r="C52" s="4">
        <v>44596</v>
      </c>
      <c r="D52">
        <v>17</v>
      </c>
      <c r="E52" t="s">
        <v>277</v>
      </c>
      <c r="F52">
        <v>51</v>
      </c>
      <c r="G52" t="s">
        <v>1170</v>
      </c>
      <c r="H52" t="s">
        <v>79</v>
      </c>
      <c r="I52" t="s">
        <v>279</v>
      </c>
      <c r="J52" t="s">
        <v>280</v>
      </c>
      <c r="K52">
        <v>3</v>
      </c>
      <c r="L52">
        <v>3</v>
      </c>
      <c r="M52">
        <v>0</v>
      </c>
      <c r="N52">
        <v>0</v>
      </c>
      <c r="O52">
        <v>0</v>
      </c>
      <c r="P52" t="s">
        <v>75</v>
      </c>
      <c r="Q52">
        <v>2021</v>
      </c>
      <c r="R52" t="s">
        <v>281</v>
      </c>
      <c r="S52" t="s">
        <v>93</v>
      </c>
      <c r="T52">
        <v>42</v>
      </c>
      <c r="U52">
        <f>shark_tank__1[[#This Row],[Cleaned Yearly Revenue]]/12</f>
        <v>3.5</v>
      </c>
      <c r="X52">
        <v>50</v>
      </c>
      <c r="Y52">
        <v>10</v>
      </c>
      <c r="Z52">
        <v>500</v>
      </c>
      <c r="AA52">
        <v>1</v>
      </c>
      <c r="AB52">
        <v>1</v>
      </c>
      <c r="AC52">
        <v>50</v>
      </c>
      <c r="AD52">
        <v>25</v>
      </c>
      <c r="AE52">
        <v>0</v>
      </c>
      <c r="AF52">
        <v>0</v>
      </c>
      <c r="AG52">
        <v>200</v>
      </c>
      <c r="AH52">
        <v>5</v>
      </c>
      <c r="AK52">
        <v>10</v>
      </c>
      <c r="AL52">
        <v>5</v>
      </c>
      <c r="AN52">
        <v>10</v>
      </c>
      <c r="AO52">
        <v>5</v>
      </c>
      <c r="AQ52">
        <v>10</v>
      </c>
      <c r="AR52">
        <v>5</v>
      </c>
      <c r="AW52">
        <v>10</v>
      </c>
      <c r="AX52">
        <v>5</v>
      </c>
      <c r="AZ52">
        <v>10</v>
      </c>
      <c r="BA52">
        <v>5</v>
      </c>
    </row>
    <row r="53" spans="1:54" x14ac:dyDescent="0.3">
      <c r="A53">
        <v>1</v>
      </c>
      <c r="B53" s="4">
        <v>44550</v>
      </c>
      <c r="C53" s="4">
        <v>44596</v>
      </c>
      <c r="D53">
        <v>17</v>
      </c>
      <c r="E53" t="s">
        <v>277</v>
      </c>
      <c r="F53">
        <v>52</v>
      </c>
      <c r="G53" t="s">
        <v>1171</v>
      </c>
      <c r="H53" t="s">
        <v>89</v>
      </c>
      <c r="I53" t="s">
        <v>1336</v>
      </c>
      <c r="J53" t="s">
        <v>284</v>
      </c>
      <c r="K53">
        <v>2</v>
      </c>
      <c r="L53">
        <v>1</v>
      </c>
      <c r="M53">
        <v>1</v>
      </c>
      <c r="N53">
        <v>0</v>
      </c>
      <c r="O53">
        <v>1</v>
      </c>
      <c r="P53" t="s">
        <v>69</v>
      </c>
      <c r="Q53">
        <v>2019</v>
      </c>
      <c r="R53" t="s">
        <v>134</v>
      </c>
      <c r="S53" t="s">
        <v>99</v>
      </c>
      <c r="T53">
        <v>150</v>
      </c>
      <c r="U53">
        <f>shark_tank__1[[#This Row],[Cleaned Yearly Revenue]]/12</f>
        <v>12.5</v>
      </c>
      <c r="X53">
        <v>150</v>
      </c>
      <c r="Y53">
        <v>3</v>
      </c>
      <c r="Z53">
        <v>5000</v>
      </c>
      <c r="AA53">
        <v>1</v>
      </c>
      <c r="AB53">
        <v>1</v>
      </c>
      <c r="AC53">
        <v>150</v>
      </c>
      <c r="AD53">
        <v>15</v>
      </c>
      <c r="AE53">
        <v>0</v>
      </c>
      <c r="AF53">
        <v>0</v>
      </c>
      <c r="AG53">
        <v>1000</v>
      </c>
      <c r="AH53">
        <v>3</v>
      </c>
      <c r="AK53">
        <v>50</v>
      </c>
      <c r="AL53">
        <v>5</v>
      </c>
      <c r="AN53">
        <v>50</v>
      </c>
      <c r="AO53">
        <v>5</v>
      </c>
      <c r="AZ53">
        <v>50</v>
      </c>
      <c r="BA53">
        <v>5</v>
      </c>
    </row>
    <row r="54" spans="1:54" x14ac:dyDescent="0.3">
      <c r="A54">
        <v>1</v>
      </c>
      <c r="B54" s="4">
        <v>44550</v>
      </c>
      <c r="C54" s="4">
        <v>44596</v>
      </c>
      <c r="D54">
        <v>17</v>
      </c>
      <c r="E54" t="s">
        <v>277</v>
      </c>
      <c r="F54">
        <v>53</v>
      </c>
      <c r="G54" t="s">
        <v>285</v>
      </c>
      <c r="H54" t="s">
        <v>286</v>
      </c>
      <c r="I54" t="s">
        <v>287</v>
      </c>
      <c r="J54" t="s">
        <v>288</v>
      </c>
      <c r="K54">
        <v>2</v>
      </c>
      <c r="L54">
        <v>1</v>
      </c>
      <c r="M54">
        <v>1</v>
      </c>
      <c r="N54">
        <v>0</v>
      </c>
      <c r="O54">
        <v>1</v>
      </c>
      <c r="P54" t="s">
        <v>75</v>
      </c>
      <c r="Q54">
        <v>2017</v>
      </c>
      <c r="R54" t="s">
        <v>185</v>
      </c>
      <c r="S54" t="s">
        <v>186</v>
      </c>
      <c r="T54">
        <v>110</v>
      </c>
      <c r="U54">
        <f>shark_tank__1[[#This Row],[Cleaned Yearly Revenue]]/12</f>
        <v>9.1666666666666661</v>
      </c>
      <c r="X54">
        <v>50</v>
      </c>
      <c r="Y54">
        <v>5</v>
      </c>
      <c r="Z54">
        <v>1000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54" x14ac:dyDescent="0.3">
      <c r="A55">
        <v>1</v>
      </c>
      <c r="B55" s="4">
        <v>44550</v>
      </c>
      <c r="C55" s="4">
        <v>44596</v>
      </c>
      <c r="D55">
        <v>17</v>
      </c>
      <c r="E55" t="s">
        <v>277</v>
      </c>
      <c r="F55">
        <v>54</v>
      </c>
      <c r="G55" t="s">
        <v>1172</v>
      </c>
      <c r="H55" t="s">
        <v>225</v>
      </c>
      <c r="I55" t="s">
        <v>1337</v>
      </c>
      <c r="J55" t="s">
        <v>291</v>
      </c>
      <c r="K55">
        <v>1</v>
      </c>
      <c r="L55">
        <v>1</v>
      </c>
      <c r="M55">
        <v>0</v>
      </c>
      <c r="N55">
        <v>0</v>
      </c>
      <c r="O55">
        <v>0</v>
      </c>
      <c r="P55" t="s">
        <v>69</v>
      </c>
      <c r="Q55">
        <v>2016</v>
      </c>
      <c r="R55" t="s">
        <v>165</v>
      </c>
      <c r="S55" t="s">
        <v>99</v>
      </c>
      <c r="T55">
        <v>250</v>
      </c>
      <c r="U55">
        <f>shark_tank__1[[#This Row],[Cleaned Yearly Revenue]]/12</f>
        <v>20.833333333333332</v>
      </c>
      <c r="X55">
        <v>80</v>
      </c>
      <c r="Y55">
        <v>10</v>
      </c>
      <c r="Z55">
        <v>800</v>
      </c>
      <c r="AA55">
        <v>1</v>
      </c>
      <c r="AB55">
        <v>1</v>
      </c>
      <c r="AC55">
        <v>80</v>
      </c>
      <c r="AD55">
        <v>20</v>
      </c>
      <c r="AE55">
        <v>0</v>
      </c>
      <c r="AF55">
        <v>0</v>
      </c>
      <c r="AG55">
        <v>400</v>
      </c>
      <c r="AH55">
        <v>1</v>
      </c>
      <c r="AZ55">
        <v>80</v>
      </c>
      <c r="BA55">
        <v>20</v>
      </c>
    </row>
    <row r="56" spans="1:54" x14ac:dyDescent="0.3">
      <c r="A56">
        <v>1</v>
      </c>
      <c r="B56" s="4">
        <v>44550</v>
      </c>
      <c r="C56" s="4">
        <v>44596</v>
      </c>
      <c r="D56">
        <v>18</v>
      </c>
      <c r="E56" t="s">
        <v>292</v>
      </c>
      <c r="F56">
        <v>55</v>
      </c>
      <c r="G56" t="s">
        <v>1173</v>
      </c>
      <c r="H56" t="s">
        <v>66</v>
      </c>
      <c r="I56" t="s">
        <v>294</v>
      </c>
      <c r="J56" t="s">
        <v>295</v>
      </c>
      <c r="K56">
        <v>3</v>
      </c>
      <c r="L56">
        <v>2</v>
      </c>
      <c r="M56">
        <v>1</v>
      </c>
      <c r="N56">
        <v>0</v>
      </c>
      <c r="O56">
        <v>0</v>
      </c>
      <c r="P56" t="s">
        <v>69</v>
      </c>
      <c r="Q56">
        <v>2016</v>
      </c>
      <c r="R56" t="s">
        <v>134</v>
      </c>
      <c r="S56" t="s">
        <v>99</v>
      </c>
      <c r="T56">
        <v>54</v>
      </c>
      <c r="U56">
        <f>shark_tank__1[[#This Row],[Cleaned Yearly Revenue]]/12</f>
        <v>4.5</v>
      </c>
      <c r="X56">
        <v>90</v>
      </c>
      <c r="Y56">
        <v>3</v>
      </c>
      <c r="Z56">
        <v>3000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54" x14ac:dyDescent="0.3">
      <c r="A57">
        <v>1</v>
      </c>
      <c r="B57" s="4">
        <v>44550</v>
      </c>
      <c r="C57" s="4">
        <v>44596</v>
      </c>
      <c r="D57">
        <v>18</v>
      </c>
      <c r="E57" t="s">
        <v>292</v>
      </c>
      <c r="F57">
        <v>56</v>
      </c>
      <c r="G57" t="s">
        <v>1174</v>
      </c>
      <c r="H57" t="s">
        <v>66</v>
      </c>
      <c r="I57" t="s">
        <v>297</v>
      </c>
      <c r="J57" t="s">
        <v>298</v>
      </c>
      <c r="K57">
        <v>1</v>
      </c>
      <c r="L57">
        <v>0</v>
      </c>
      <c r="M57">
        <v>1</v>
      </c>
      <c r="N57">
        <v>0</v>
      </c>
      <c r="O57">
        <v>0</v>
      </c>
      <c r="P57" t="s">
        <v>69</v>
      </c>
      <c r="Q57">
        <v>2019</v>
      </c>
      <c r="R57" t="s">
        <v>86</v>
      </c>
      <c r="S57" t="s">
        <v>87</v>
      </c>
      <c r="T57">
        <v>24</v>
      </c>
      <c r="U57">
        <f>shark_tank__1[[#This Row],[Cleaned Yearly Revenue]]/12</f>
        <v>2</v>
      </c>
      <c r="X57">
        <v>50</v>
      </c>
      <c r="Y57">
        <v>4</v>
      </c>
      <c r="Z57">
        <v>1250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54" x14ac:dyDescent="0.3">
      <c r="A58">
        <v>1</v>
      </c>
      <c r="B58" s="4">
        <v>44550</v>
      </c>
      <c r="C58" s="4">
        <v>44596</v>
      </c>
      <c r="D58">
        <v>18</v>
      </c>
      <c r="E58" t="s">
        <v>292</v>
      </c>
      <c r="F58">
        <v>57</v>
      </c>
      <c r="G58" t="s">
        <v>299</v>
      </c>
      <c r="H58" t="s">
        <v>72</v>
      </c>
      <c r="I58" t="s">
        <v>300</v>
      </c>
      <c r="J58" t="s">
        <v>301</v>
      </c>
      <c r="K58">
        <v>2</v>
      </c>
      <c r="L58">
        <v>2</v>
      </c>
      <c r="M58">
        <v>0</v>
      </c>
      <c r="N58">
        <v>0</v>
      </c>
      <c r="O58">
        <v>0</v>
      </c>
      <c r="P58" t="s">
        <v>69</v>
      </c>
      <c r="Q58">
        <v>2018</v>
      </c>
      <c r="R58" t="s">
        <v>155</v>
      </c>
      <c r="S58" t="s">
        <v>156</v>
      </c>
      <c r="U58">
        <f>shark_tank__1[[#This Row],[Cleaned Yearly Revenue]]/12</f>
        <v>0</v>
      </c>
      <c r="X58">
        <v>100</v>
      </c>
      <c r="Y58">
        <v>1</v>
      </c>
      <c r="Z58">
        <v>10000</v>
      </c>
      <c r="AA58">
        <v>1</v>
      </c>
      <c r="AB58">
        <v>1</v>
      </c>
      <c r="AC58">
        <v>1</v>
      </c>
      <c r="AD58">
        <v>1</v>
      </c>
      <c r="AE58">
        <v>99</v>
      </c>
      <c r="AF58">
        <v>0</v>
      </c>
      <c r="AG58">
        <v>100</v>
      </c>
      <c r="AH58">
        <v>1</v>
      </c>
      <c r="AK58">
        <v>1</v>
      </c>
      <c r="AL58">
        <v>1</v>
      </c>
      <c r="AM58">
        <v>99</v>
      </c>
    </row>
    <row r="59" spans="1:54" x14ac:dyDescent="0.3">
      <c r="A59">
        <v>1</v>
      </c>
      <c r="B59" s="4">
        <v>44550</v>
      </c>
      <c r="C59" s="4">
        <v>44596</v>
      </c>
      <c r="D59">
        <v>18</v>
      </c>
      <c r="E59" t="s">
        <v>292</v>
      </c>
      <c r="F59">
        <v>58</v>
      </c>
      <c r="G59" t="s">
        <v>302</v>
      </c>
      <c r="H59" t="s">
        <v>286</v>
      </c>
      <c r="I59" t="s">
        <v>1338</v>
      </c>
      <c r="J59" t="s">
        <v>304</v>
      </c>
      <c r="K59">
        <v>1</v>
      </c>
      <c r="L59">
        <v>0</v>
      </c>
      <c r="M59">
        <v>1</v>
      </c>
      <c r="N59">
        <v>0</v>
      </c>
      <c r="O59">
        <v>0</v>
      </c>
      <c r="P59" t="s">
        <v>69</v>
      </c>
      <c r="Q59">
        <v>2015</v>
      </c>
      <c r="R59" t="s">
        <v>86</v>
      </c>
      <c r="S59" t="s">
        <v>87</v>
      </c>
      <c r="T59">
        <v>116</v>
      </c>
      <c r="U59">
        <f>shark_tank__1[[#This Row],[Cleaned Yearly Revenue]]/12</f>
        <v>9.6666666666666661</v>
      </c>
      <c r="V59">
        <v>50</v>
      </c>
      <c r="X59">
        <v>50</v>
      </c>
      <c r="Y59">
        <v>2.5</v>
      </c>
      <c r="Z59">
        <v>2000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54" x14ac:dyDescent="0.3">
      <c r="A60">
        <v>1</v>
      </c>
      <c r="B60" s="4">
        <v>44550</v>
      </c>
      <c r="C60" s="4">
        <v>44596</v>
      </c>
      <c r="D60">
        <v>19</v>
      </c>
      <c r="E60" t="s">
        <v>305</v>
      </c>
      <c r="F60">
        <v>59</v>
      </c>
      <c r="G60" t="s">
        <v>306</v>
      </c>
      <c r="H60" t="s">
        <v>182</v>
      </c>
      <c r="I60" t="s">
        <v>1339</v>
      </c>
      <c r="J60" t="s">
        <v>308</v>
      </c>
      <c r="K60">
        <v>2</v>
      </c>
      <c r="L60">
        <v>2</v>
      </c>
      <c r="M60">
        <v>0</v>
      </c>
      <c r="N60">
        <v>0</v>
      </c>
      <c r="O60">
        <v>0</v>
      </c>
      <c r="P60" t="s">
        <v>69</v>
      </c>
      <c r="Q60">
        <v>2012</v>
      </c>
      <c r="R60" t="s">
        <v>86</v>
      </c>
      <c r="S60" t="s">
        <v>87</v>
      </c>
      <c r="T60">
        <v>12</v>
      </c>
      <c r="U60">
        <f>shark_tank__1[[#This Row],[Cleaned Yearly Revenue]]/12</f>
        <v>1</v>
      </c>
      <c r="X60">
        <v>15</v>
      </c>
      <c r="Y60">
        <v>5</v>
      </c>
      <c r="Z60">
        <v>300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54" x14ac:dyDescent="0.3">
      <c r="A61">
        <v>1</v>
      </c>
      <c r="B61" s="4">
        <v>44550</v>
      </c>
      <c r="C61" s="4">
        <v>44596</v>
      </c>
      <c r="D61">
        <v>19</v>
      </c>
      <c r="E61" t="s">
        <v>305</v>
      </c>
      <c r="F61">
        <v>60</v>
      </c>
      <c r="G61" t="s">
        <v>1340</v>
      </c>
      <c r="H61" t="s">
        <v>268</v>
      </c>
      <c r="I61" t="s">
        <v>1341</v>
      </c>
      <c r="J61" t="s">
        <v>311</v>
      </c>
      <c r="K61">
        <v>2</v>
      </c>
      <c r="L61">
        <v>2</v>
      </c>
      <c r="M61">
        <v>0</v>
      </c>
      <c r="N61">
        <v>0</v>
      </c>
      <c r="O61">
        <v>0</v>
      </c>
      <c r="P61" t="s">
        <v>69</v>
      </c>
      <c r="Q61" t="s">
        <v>1309</v>
      </c>
      <c r="R61" t="s">
        <v>312</v>
      </c>
      <c r="S61" t="s">
        <v>171</v>
      </c>
      <c r="T61">
        <v>55</v>
      </c>
      <c r="U61">
        <f>shark_tank__1[[#This Row],[Cleaned Yearly Revenue]]/12</f>
        <v>4.583333333333333</v>
      </c>
      <c r="X61">
        <v>50</v>
      </c>
      <c r="Y61">
        <v>5</v>
      </c>
      <c r="Z61">
        <v>1000</v>
      </c>
      <c r="AA61">
        <v>1</v>
      </c>
      <c r="AB61">
        <v>1</v>
      </c>
      <c r="AC61">
        <v>60</v>
      </c>
      <c r="AD61">
        <v>10</v>
      </c>
      <c r="AE61">
        <v>0</v>
      </c>
      <c r="AF61">
        <v>0</v>
      </c>
      <c r="AG61">
        <v>600</v>
      </c>
      <c r="AH61">
        <v>4</v>
      </c>
      <c r="AK61">
        <v>15</v>
      </c>
      <c r="AL61">
        <v>2.5</v>
      </c>
      <c r="AN61">
        <v>15</v>
      </c>
      <c r="AO61">
        <v>2.5</v>
      </c>
      <c r="AW61">
        <v>15</v>
      </c>
      <c r="AX61">
        <v>2.5</v>
      </c>
      <c r="AZ61">
        <v>15</v>
      </c>
      <c r="BA61">
        <v>2.5</v>
      </c>
    </row>
    <row r="62" spans="1:54" x14ac:dyDescent="0.3">
      <c r="A62">
        <v>1</v>
      </c>
      <c r="B62" s="4">
        <v>44550</v>
      </c>
      <c r="C62" s="4">
        <v>44596</v>
      </c>
      <c r="D62">
        <v>19</v>
      </c>
      <c r="E62" t="s">
        <v>305</v>
      </c>
      <c r="F62">
        <v>61</v>
      </c>
      <c r="G62" t="s">
        <v>1176</v>
      </c>
      <c r="H62" t="s">
        <v>66</v>
      </c>
      <c r="I62" t="s">
        <v>1342</v>
      </c>
      <c r="J62" t="s">
        <v>315</v>
      </c>
      <c r="K62">
        <v>1</v>
      </c>
      <c r="L62">
        <v>1</v>
      </c>
      <c r="M62">
        <v>0</v>
      </c>
      <c r="N62">
        <v>0</v>
      </c>
      <c r="O62">
        <v>0</v>
      </c>
      <c r="P62" t="s">
        <v>75</v>
      </c>
      <c r="Q62" t="s">
        <v>1309</v>
      </c>
      <c r="R62" t="s">
        <v>70</v>
      </c>
      <c r="S62" t="s">
        <v>70</v>
      </c>
      <c r="T62">
        <v>180</v>
      </c>
      <c r="U62">
        <f>shark_tank__1[[#This Row],[Cleaned Yearly Revenue]]/12</f>
        <v>15</v>
      </c>
      <c r="X62">
        <v>150</v>
      </c>
      <c r="Y62">
        <v>1.25</v>
      </c>
      <c r="Z62">
        <v>12000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54" x14ac:dyDescent="0.3">
      <c r="A63">
        <v>1</v>
      </c>
      <c r="B63" s="4">
        <v>44550</v>
      </c>
      <c r="C63" s="4">
        <v>44596</v>
      </c>
      <c r="D63">
        <v>19</v>
      </c>
      <c r="E63" t="s">
        <v>305</v>
      </c>
      <c r="F63">
        <v>62</v>
      </c>
      <c r="G63" t="s">
        <v>316</v>
      </c>
      <c r="H63" t="s">
        <v>317</v>
      </c>
      <c r="I63" t="s">
        <v>1343</v>
      </c>
      <c r="J63" t="s">
        <v>319</v>
      </c>
      <c r="K63">
        <v>3</v>
      </c>
      <c r="L63">
        <v>3</v>
      </c>
      <c r="M63">
        <v>0</v>
      </c>
      <c r="N63">
        <v>0</v>
      </c>
      <c r="O63">
        <v>0</v>
      </c>
      <c r="P63" t="s">
        <v>69</v>
      </c>
      <c r="Q63" t="s">
        <v>1309</v>
      </c>
      <c r="R63" t="s">
        <v>134</v>
      </c>
      <c r="S63" t="s">
        <v>99</v>
      </c>
      <c r="T63">
        <v>0.5</v>
      </c>
      <c r="U63">
        <f>shark_tank__1[[#This Row],[Cleaned Yearly Revenue]]/12</f>
        <v>4.1666666666666664E-2</v>
      </c>
      <c r="X63">
        <v>120</v>
      </c>
      <c r="Y63">
        <v>8</v>
      </c>
      <c r="Z63">
        <v>1500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54" x14ac:dyDescent="0.3">
      <c r="A64">
        <v>1</v>
      </c>
      <c r="B64" s="4">
        <v>44550</v>
      </c>
      <c r="C64" s="4">
        <v>44596</v>
      </c>
      <c r="D64">
        <v>20</v>
      </c>
      <c r="E64" t="s">
        <v>320</v>
      </c>
      <c r="F64">
        <v>63</v>
      </c>
      <c r="G64" t="s">
        <v>1177</v>
      </c>
      <c r="H64" t="s">
        <v>66</v>
      </c>
      <c r="I64" t="s">
        <v>322</v>
      </c>
      <c r="J64" t="s">
        <v>323</v>
      </c>
      <c r="K64">
        <v>2</v>
      </c>
      <c r="L64">
        <v>1</v>
      </c>
      <c r="M64">
        <v>1</v>
      </c>
      <c r="N64">
        <v>0</v>
      </c>
      <c r="O64">
        <v>0</v>
      </c>
      <c r="P64" t="s">
        <v>75</v>
      </c>
      <c r="Q64">
        <v>2020</v>
      </c>
      <c r="R64" t="s">
        <v>324</v>
      </c>
      <c r="S64" t="s">
        <v>325</v>
      </c>
      <c r="T64">
        <v>480</v>
      </c>
      <c r="U64">
        <f>shark_tank__1[[#This Row],[Cleaned Yearly Revenue]]/12</f>
        <v>40</v>
      </c>
      <c r="X64">
        <v>65</v>
      </c>
      <c r="Y64">
        <v>2</v>
      </c>
      <c r="Z64">
        <v>3250</v>
      </c>
      <c r="AA64">
        <v>1</v>
      </c>
      <c r="AB64">
        <v>1</v>
      </c>
      <c r="AC64">
        <v>40</v>
      </c>
      <c r="AD64">
        <v>3</v>
      </c>
      <c r="AE64">
        <v>25</v>
      </c>
      <c r="AF64">
        <v>0</v>
      </c>
      <c r="AG64">
        <v>1333</v>
      </c>
      <c r="AH64">
        <v>1</v>
      </c>
      <c r="AZ64">
        <v>40</v>
      </c>
      <c r="BA64">
        <v>3</v>
      </c>
      <c r="BB64">
        <v>25</v>
      </c>
    </row>
    <row r="65" spans="1:56" x14ac:dyDescent="0.3">
      <c r="A65">
        <v>1</v>
      </c>
      <c r="B65" s="4">
        <v>44550</v>
      </c>
      <c r="C65" s="4">
        <v>44596</v>
      </c>
      <c r="D65">
        <v>20</v>
      </c>
      <c r="E65" t="s">
        <v>320</v>
      </c>
      <c r="F65">
        <v>64</v>
      </c>
      <c r="G65" t="s">
        <v>326</v>
      </c>
      <c r="H65" t="s">
        <v>225</v>
      </c>
      <c r="I65" t="s">
        <v>327</v>
      </c>
      <c r="J65" t="s">
        <v>328</v>
      </c>
      <c r="K65">
        <v>2</v>
      </c>
      <c r="L65">
        <v>2</v>
      </c>
      <c r="M65">
        <v>0</v>
      </c>
      <c r="N65">
        <v>0</v>
      </c>
      <c r="O65">
        <v>0</v>
      </c>
      <c r="P65" t="s">
        <v>75</v>
      </c>
      <c r="Q65">
        <v>2020</v>
      </c>
      <c r="R65" t="s">
        <v>70</v>
      </c>
      <c r="S65" t="s">
        <v>70</v>
      </c>
      <c r="T65">
        <v>35</v>
      </c>
      <c r="U65">
        <f>shark_tank__1[[#This Row],[Cleaned Yearly Revenue]]/12</f>
        <v>2.9166666666666665</v>
      </c>
      <c r="X65">
        <v>35</v>
      </c>
      <c r="Y65">
        <v>5</v>
      </c>
      <c r="Z65">
        <v>700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56" x14ac:dyDescent="0.3">
      <c r="A66">
        <v>1</v>
      </c>
      <c r="B66" s="4">
        <v>44550</v>
      </c>
      <c r="C66" s="4">
        <v>44596</v>
      </c>
      <c r="D66">
        <v>20</v>
      </c>
      <c r="E66" t="s">
        <v>320</v>
      </c>
      <c r="F66">
        <v>65</v>
      </c>
      <c r="G66" t="s">
        <v>1344</v>
      </c>
      <c r="H66" t="s">
        <v>66</v>
      </c>
      <c r="I66" t="s">
        <v>330</v>
      </c>
      <c r="J66" t="s">
        <v>331</v>
      </c>
      <c r="K66">
        <v>3</v>
      </c>
      <c r="L66">
        <v>3</v>
      </c>
      <c r="M66">
        <v>0</v>
      </c>
      <c r="N66">
        <v>0</v>
      </c>
      <c r="O66">
        <v>0</v>
      </c>
      <c r="P66" t="s">
        <v>69</v>
      </c>
      <c r="Q66">
        <v>2020</v>
      </c>
      <c r="R66" t="s">
        <v>165</v>
      </c>
      <c r="S66" t="s">
        <v>99</v>
      </c>
      <c r="T66">
        <v>276</v>
      </c>
      <c r="U66">
        <f>shark_tank__1[[#This Row],[Cleaned Yearly Revenue]]/12</f>
        <v>23</v>
      </c>
      <c r="X66">
        <v>50</v>
      </c>
      <c r="Y66">
        <v>2</v>
      </c>
      <c r="Z66">
        <v>2500</v>
      </c>
      <c r="AA66">
        <v>1</v>
      </c>
      <c r="AB66">
        <v>1</v>
      </c>
      <c r="AC66">
        <v>100</v>
      </c>
      <c r="AD66">
        <v>10</v>
      </c>
      <c r="AE66">
        <v>0</v>
      </c>
      <c r="AF66">
        <v>0</v>
      </c>
      <c r="AG66">
        <v>1000</v>
      </c>
      <c r="AH66">
        <v>5</v>
      </c>
      <c r="AK66">
        <v>20</v>
      </c>
      <c r="AL66">
        <v>2</v>
      </c>
      <c r="AN66">
        <v>20</v>
      </c>
      <c r="AO66">
        <v>2</v>
      </c>
      <c r="AQ66">
        <v>20</v>
      </c>
      <c r="AR66">
        <v>2</v>
      </c>
      <c r="AW66">
        <v>20</v>
      </c>
      <c r="AX66">
        <v>2</v>
      </c>
      <c r="AZ66">
        <v>20</v>
      </c>
      <c r="BA66">
        <v>2</v>
      </c>
    </row>
    <row r="67" spans="1:56" x14ac:dyDescent="0.3">
      <c r="A67">
        <v>1</v>
      </c>
      <c r="B67" s="4">
        <v>44550</v>
      </c>
      <c r="C67" s="4">
        <v>44596</v>
      </c>
      <c r="D67">
        <v>21</v>
      </c>
      <c r="E67" t="s">
        <v>332</v>
      </c>
      <c r="F67">
        <v>66</v>
      </c>
      <c r="G67" t="s">
        <v>1178</v>
      </c>
      <c r="H67" t="s">
        <v>66</v>
      </c>
      <c r="I67" t="s">
        <v>334</v>
      </c>
      <c r="J67" t="s">
        <v>335</v>
      </c>
      <c r="K67">
        <v>2</v>
      </c>
      <c r="L67">
        <v>1</v>
      </c>
      <c r="M67">
        <v>1</v>
      </c>
      <c r="N67">
        <v>0</v>
      </c>
      <c r="O67">
        <v>0</v>
      </c>
      <c r="P67" t="s">
        <v>69</v>
      </c>
      <c r="Q67">
        <v>2018</v>
      </c>
      <c r="R67" t="s">
        <v>134</v>
      </c>
      <c r="S67" t="s">
        <v>99</v>
      </c>
      <c r="T67">
        <v>360</v>
      </c>
      <c r="U67">
        <f>shark_tank__1[[#This Row],[Cleaned Yearly Revenue]]/12</f>
        <v>30</v>
      </c>
      <c r="V67">
        <v>69</v>
      </c>
      <c r="X67">
        <v>100</v>
      </c>
      <c r="Y67">
        <v>8</v>
      </c>
      <c r="Z67">
        <v>1250</v>
      </c>
      <c r="AA67">
        <v>1</v>
      </c>
      <c r="AB67">
        <v>1</v>
      </c>
      <c r="AC67">
        <v>100</v>
      </c>
      <c r="AD67">
        <v>15</v>
      </c>
      <c r="AE67">
        <v>0</v>
      </c>
      <c r="AF67">
        <v>0</v>
      </c>
      <c r="AG67">
        <v>667</v>
      </c>
      <c r="AH67">
        <v>3</v>
      </c>
      <c r="AK67">
        <v>33.33</v>
      </c>
      <c r="AL67">
        <v>5</v>
      </c>
      <c r="AT67">
        <v>33.33</v>
      </c>
      <c r="AU67">
        <v>5</v>
      </c>
      <c r="AW67">
        <v>33.33</v>
      </c>
      <c r="AX67">
        <v>5</v>
      </c>
    </row>
    <row r="68" spans="1:56" x14ac:dyDescent="0.3">
      <c r="A68">
        <v>1</v>
      </c>
      <c r="B68" s="4">
        <v>44550</v>
      </c>
      <c r="C68" s="4">
        <v>44596</v>
      </c>
      <c r="D68">
        <v>21</v>
      </c>
      <c r="E68" t="s">
        <v>332</v>
      </c>
      <c r="F68">
        <v>67</v>
      </c>
      <c r="G68" t="s">
        <v>1179</v>
      </c>
      <c r="H68" t="s">
        <v>317</v>
      </c>
      <c r="I68" t="s">
        <v>337</v>
      </c>
      <c r="J68" t="s">
        <v>338</v>
      </c>
      <c r="K68">
        <v>1</v>
      </c>
      <c r="L68">
        <v>1</v>
      </c>
      <c r="M68">
        <v>0</v>
      </c>
      <c r="N68">
        <v>0</v>
      </c>
      <c r="O68">
        <v>0</v>
      </c>
      <c r="P68" t="s">
        <v>75</v>
      </c>
      <c r="Q68">
        <v>2018</v>
      </c>
      <c r="R68" t="s">
        <v>339</v>
      </c>
      <c r="S68" t="s">
        <v>340</v>
      </c>
      <c r="T68">
        <v>12</v>
      </c>
      <c r="U68">
        <f>shark_tank__1[[#This Row],[Cleaned Yearly Revenue]]/12</f>
        <v>1</v>
      </c>
      <c r="X68">
        <v>47</v>
      </c>
      <c r="Y68">
        <v>10</v>
      </c>
      <c r="Z68">
        <v>470</v>
      </c>
      <c r="AA68">
        <v>1</v>
      </c>
      <c r="AB68">
        <v>1</v>
      </c>
      <c r="AC68">
        <v>25</v>
      </c>
      <c r="AD68">
        <v>75</v>
      </c>
      <c r="AE68">
        <v>22</v>
      </c>
      <c r="AF68">
        <v>0</v>
      </c>
      <c r="AG68">
        <v>33</v>
      </c>
      <c r="AH68">
        <v>1</v>
      </c>
      <c r="AZ68">
        <v>25</v>
      </c>
      <c r="BA68">
        <v>75</v>
      </c>
      <c r="BB68">
        <v>22</v>
      </c>
    </row>
    <row r="69" spans="1:56" x14ac:dyDescent="0.3">
      <c r="A69">
        <v>1</v>
      </c>
      <c r="B69" s="4">
        <v>44550</v>
      </c>
      <c r="C69" s="4">
        <v>44596</v>
      </c>
      <c r="D69">
        <v>21</v>
      </c>
      <c r="E69" t="s">
        <v>332</v>
      </c>
      <c r="F69">
        <v>68</v>
      </c>
      <c r="G69" t="s">
        <v>1180</v>
      </c>
      <c r="H69" t="s">
        <v>79</v>
      </c>
      <c r="I69" t="s">
        <v>342</v>
      </c>
      <c r="J69" t="s">
        <v>343</v>
      </c>
      <c r="K69">
        <v>1</v>
      </c>
      <c r="L69">
        <v>0</v>
      </c>
      <c r="M69">
        <v>1</v>
      </c>
      <c r="N69">
        <v>0</v>
      </c>
      <c r="O69">
        <v>0</v>
      </c>
      <c r="P69" t="s">
        <v>75</v>
      </c>
      <c r="Q69">
        <v>2018</v>
      </c>
      <c r="R69" t="s">
        <v>344</v>
      </c>
      <c r="S69" t="s">
        <v>345</v>
      </c>
      <c r="T69">
        <v>36</v>
      </c>
      <c r="U69">
        <f>shark_tank__1[[#This Row],[Cleaned Yearly Revenue]]/12</f>
        <v>3</v>
      </c>
      <c r="X69">
        <v>35</v>
      </c>
      <c r="Y69">
        <v>5</v>
      </c>
      <c r="Z69">
        <v>700</v>
      </c>
      <c r="AA69">
        <v>1</v>
      </c>
      <c r="AB69">
        <v>1</v>
      </c>
      <c r="AC69">
        <v>35</v>
      </c>
      <c r="AD69">
        <v>24</v>
      </c>
      <c r="AE69">
        <v>0</v>
      </c>
      <c r="AF69">
        <v>0</v>
      </c>
      <c r="AG69">
        <v>146</v>
      </c>
      <c r="AH69">
        <v>2</v>
      </c>
      <c r="AQ69">
        <v>17.5</v>
      </c>
      <c r="AR69">
        <v>12</v>
      </c>
      <c r="AT69">
        <v>17.5</v>
      </c>
      <c r="AU69">
        <v>12</v>
      </c>
    </row>
    <row r="70" spans="1:56" x14ac:dyDescent="0.3">
      <c r="A70">
        <v>1</v>
      </c>
      <c r="B70" s="4">
        <v>44550</v>
      </c>
      <c r="C70" s="4">
        <v>44596</v>
      </c>
      <c r="D70">
        <v>22</v>
      </c>
      <c r="E70" t="s">
        <v>346</v>
      </c>
      <c r="F70">
        <v>69</v>
      </c>
      <c r="G70" t="s">
        <v>1181</v>
      </c>
      <c r="H70" t="s">
        <v>79</v>
      </c>
      <c r="I70" t="s">
        <v>348</v>
      </c>
      <c r="J70" t="s">
        <v>349</v>
      </c>
      <c r="K70">
        <v>3</v>
      </c>
      <c r="L70">
        <v>3</v>
      </c>
      <c r="M70">
        <v>0</v>
      </c>
      <c r="N70">
        <v>0</v>
      </c>
      <c r="O70">
        <v>0</v>
      </c>
      <c r="P70" t="s">
        <v>69</v>
      </c>
      <c r="Q70">
        <v>2019</v>
      </c>
      <c r="R70" t="s">
        <v>155</v>
      </c>
      <c r="S70" t="s">
        <v>156</v>
      </c>
      <c r="T70">
        <v>600</v>
      </c>
      <c r="U70">
        <f>shark_tank__1[[#This Row],[Cleaned Yearly Revenue]]/12</f>
        <v>50</v>
      </c>
      <c r="V70">
        <v>62</v>
      </c>
      <c r="X70">
        <v>60</v>
      </c>
      <c r="Y70">
        <v>2</v>
      </c>
      <c r="Z70">
        <v>3000</v>
      </c>
      <c r="AA70">
        <v>1</v>
      </c>
      <c r="AB70">
        <v>1</v>
      </c>
      <c r="AC70">
        <v>60</v>
      </c>
      <c r="AD70">
        <v>4</v>
      </c>
      <c r="AE70">
        <v>0</v>
      </c>
      <c r="AF70">
        <v>0</v>
      </c>
      <c r="AG70">
        <v>1500</v>
      </c>
      <c r="AH70">
        <v>3</v>
      </c>
      <c r="AK70">
        <v>20</v>
      </c>
      <c r="AL70">
        <v>1.33</v>
      </c>
      <c r="AQ70">
        <v>20</v>
      </c>
      <c r="AR70">
        <v>1.33</v>
      </c>
      <c r="AZ70">
        <v>20</v>
      </c>
      <c r="BA70">
        <v>1.33</v>
      </c>
    </row>
    <row r="71" spans="1:56" x14ac:dyDescent="0.3">
      <c r="A71">
        <v>1</v>
      </c>
      <c r="B71" s="4">
        <v>44550</v>
      </c>
      <c r="C71" s="4">
        <v>44596</v>
      </c>
      <c r="D71">
        <v>22</v>
      </c>
      <c r="E71" t="s">
        <v>346</v>
      </c>
      <c r="F71">
        <v>70</v>
      </c>
      <c r="G71" t="s">
        <v>1182</v>
      </c>
      <c r="H71" t="s">
        <v>79</v>
      </c>
      <c r="I71" t="s">
        <v>1345</v>
      </c>
      <c r="J71" t="s">
        <v>352</v>
      </c>
      <c r="K71">
        <v>1</v>
      </c>
      <c r="L71">
        <v>0</v>
      </c>
      <c r="M71">
        <v>1</v>
      </c>
      <c r="N71">
        <v>0</v>
      </c>
      <c r="O71">
        <v>0</v>
      </c>
      <c r="P71" t="s">
        <v>69</v>
      </c>
      <c r="Q71" t="s">
        <v>1309</v>
      </c>
      <c r="R71" t="s">
        <v>134</v>
      </c>
      <c r="S71" t="s">
        <v>99</v>
      </c>
      <c r="T71">
        <v>9</v>
      </c>
      <c r="U71">
        <f>shark_tank__1[[#This Row],[Cleaned Yearly Revenue]]/12</f>
        <v>0.75</v>
      </c>
      <c r="V71">
        <v>150</v>
      </c>
      <c r="X71">
        <v>75</v>
      </c>
      <c r="Y71">
        <v>5</v>
      </c>
      <c r="Z71">
        <v>1500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56" x14ac:dyDescent="0.3">
      <c r="A72">
        <v>1</v>
      </c>
      <c r="B72" s="4">
        <v>44550</v>
      </c>
      <c r="C72" s="4">
        <v>44596</v>
      </c>
      <c r="D72">
        <v>22</v>
      </c>
      <c r="E72" t="s">
        <v>346</v>
      </c>
      <c r="F72">
        <v>71</v>
      </c>
      <c r="G72" t="s">
        <v>353</v>
      </c>
      <c r="H72" t="s">
        <v>66</v>
      </c>
      <c r="I72" t="s">
        <v>354</v>
      </c>
      <c r="J72" t="s">
        <v>355</v>
      </c>
      <c r="K72">
        <v>2</v>
      </c>
      <c r="L72">
        <v>2</v>
      </c>
      <c r="M72">
        <v>0</v>
      </c>
      <c r="N72">
        <v>0</v>
      </c>
      <c r="O72">
        <v>0</v>
      </c>
      <c r="P72" t="s">
        <v>69</v>
      </c>
      <c r="Q72">
        <v>2018</v>
      </c>
      <c r="R72" t="s">
        <v>134</v>
      </c>
      <c r="S72" t="s">
        <v>99</v>
      </c>
      <c r="T72">
        <v>372</v>
      </c>
      <c r="U72">
        <f>shark_tank__1[[#This Row],[Cleaned Yearly Revenue]]/12</f>
        <v>31</v>
      </c>
      <c r="V72">
        <v>70</v>
      </c>
      <c r="X72">
        <v>80</v>
      </c>
      <c r="Y72">
        <v>0.5</v>
      </c>
      <c r="Z72">
        <v>16000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56" x14ac:dyDescent="0.3">
      <c r="A73">
        <v>1</v>
      </c>
      <c r="B73" s="4">
        <v>44550</v>
      </c>
      <c r="C73" s="4">
        <v>44596</v>
      </c>
      <c r="D73">
        <v>22</v>
      </c>
      <c r="E73" t="s">
        <v>346</v>
      </c>
      <c r="F73">
        <v>72</v>
      </c>
      <c r="G73" t="s">
        <v>356</v>
      </c>
      <c r="H73" t="s">
        <v>66</v>
      </c>
      <c r="I73" t="s">
        <v>1346</v>
      </c>
      <c r="J73" t="s">
        <v>358</v>
      </c>
      <c r="K73">
        <v>3</v>
      </c>
      <c r="L73">
        <v>3</v>
      </c>
      <c r="M73">
        <v>0</v>
      </c>
      <c r="N73">
        <v>0</v>
      </c>
      <c r="O73">
        <v>0</v>
      </c>
      <c r="P73" t="s">
        <v>69</v>
      </c>
      <c r="Q73">
        <v>2015</v>
      </c>
      <c r="R73" t="s">
        <v>155</v>
      </c>
      <c r="S73" t="s">
        <v>156</v>
      </c>
      <c r="T73">
        <v>12</v>
      </c>
      <c r="U73">
        <f>shark_tank__1[[#This Row],[Cleaned Yearly Revenue]]/12</f>
        <v>1</v>
      </c>
      <c r="V73">
        <v>25</v>
      </c>
      <c r="X73">
        <v>50</v>
      </c>
      <c r="Y73">
        <v>2</v>
      </c>
      <c r="Z73">
        <v>2500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56" x14ac:dyDescent="0.3">
      <c r="A74">
        <v>1</v>
      </c>
      <c r="B74" s="4">
        <v>44550</v>
      </c>
      <c r="C74" s="4">
        <v>44596</v>
      </c>
      <c r="D74">
        <v>23</v>
      </c>
      <c r="E74" t="s">
        <v>359</v>
      </c>
      <c r="F74">
        <v>73</v>
      </c>
      <c r="G74" t="s">
        <v>1183</v>
      </c>
      <c r="H74" t="s">
        <v>66</v>
      </c>
      <c r="I74" t="s">
        <v>361</v>
      </c>
      <c r="J74" t="s">
        <v>362</v>
      </c>
      <c r="K74">
        <v>1</v>
      </c>
      <c r="L74">
        <v>0</v>
      </c>
      <c r="M74">
        <v>1</v>
      </c>
      <c r="N74">
        <v>0</v>
      </c>
      <c r="O74">
        <v>0</v>
      </c>
      <c r="P74" t="s">
        <v>75</v>
      </c>
      <c r="Q74">
        <v>2019</v>
      </c>
      <c r="R74" t="s">
        <v>339</v>
      </c>
      <c r="S74" t="s">
        <v>340</v>
      </c>
      <c r="T74">
        <v>192</v>
      </c>
      <c r="U74">
        <f>shark_tank__1[[#This Row],[Cleaned Yearly Revenue]]/12</f>
        <v>16</v>
      </c>
      <c r="V74">
        <v>34</v>
      </c>
      <c r="X74">
        <v>100</v>
      </c>
      <c r="Y74">
        <v>5</v>
      </c>
      <c r="Z74">
        <v>2000</v>
      </c>
      <c r="AA74">
        <v>1</v>
      </c>
      <c r="AB74">
        <v>1</v>
      </c>
      <c r="AC74">
        <v>50</v>
      </c>
      <c r="AD74">
        <v>10</v>
      </c>
      <c r="AE74">
        <v>50</v>
      </c>
      <c r="AF74">
        <v>0</v>
      </c>
      <c r="AG74">
        <v>500</v>
      </c>
      <c r="AH74">
        <v>1</v>
      </c>
      <c r="AW74">
        <v>50</v>
      </c>
      <c r="AX74">
        <v>10</v>
      </c>
      <c r="AY74">
        <v>50</v>
      </c>
    </row>
    <row r="75" spans="1:56" x14ac:dyDescent="0.3">
      <c r="A75">
        <v>1</v>
      </c>
      <c r="B75" s="4">
        <v>44550</v>
      </c>
      <c r="C75" s="4">
        <v>44596</v>
      </c>
      <c r="D75">
        <v>23</v>
      </c>
      <c r="E75" t="s">
        <v>359</v>
      </c>
      <c r="F75">
        <v>74</v>
      </c>
      <c r="G75" t="s">
        <v>1184</v>
      </c>
      <c r="H75" t="s">
        <v>79</v>
      </c>
      <c r="I75" t="s">
        <v>364</v>
      </c>
      <c r="J75" t="s">
        <v>365</v>
      </c>
      <c r="K75">
        <v>1</v>
      </c>
      <c r="L75">
        <v>1</v>
      </c>
      <c r="M75">
        <v>0</v>
      </c>
      <c r="N75">
        <v>0</v>
      </c>
      <c r="O75">
        <v>0</v>
      </c>
      <c r="P75" t="s">
        <v>75</v>
      </c>
      <c r="Q75">
        <v>2014</v>
      </c>
      <c r="R75" t="s">
        <v>134</v>
      </c>
      <c r="S75" t="s">
        <v>99</v>
      </c>
      <c r="T75">
        <v>2400</v>
      </c>
      <c r="U75">
        <f>shark_tank__1[[#This Row],[Cleaned Yearly Revenue]]/12</f>
        <v>200</v>
      </c>
      <c r="V75">
        <v>25</v>
      </c>
      <c r="X75">
        <v>100</v>
      </c>
      <c r="Y75">
        <v>1</v>
      </c>
      <c r="Z75">
        <v>10000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56" x14ac:dyDescent="0.3">
      <c r="A76">
        <v>1</v>
      </c>
      <c r="B76" s="4">
        <v>44550</v>
      </c>
      <c r="C76" s="4">
        <v>44596</v>
      </c>
      <c r="D76">
        <v>23</v>
      </c>
      <c r="E76" t="s">
        <v>359</v>
      </c>
      <c r="F76">
        <v>75</v>
      </c>
      <c r="G76" t="s">
        <v>1185</v>
      </c>
      <c r="H76" t="s">
        <v>182</v>
      </c>
      <c r="I76" t="s">
        <v>1347</v>
      </c>
      <c r="J76" t="s">
        <v>368</v>
      </c>
      <c r="K76">
        <v>2</v>
      </c>
      <c r="L76">
        <v>1</v>
      </c>
      <c r="M76">
        <v>1</v>
      </c>
      <c r="N76">
        <v>0</v>
      </c>
      <c r="O76">
        <v>1</v>
      </c>
      <c r="P76" t="s">
        <v>69</v>
      </c>
      <c r="Q76">
        <v>2018</v>
      </c>
      <c r="R76" t="s">
        <v>143</v>
      </c>
      <c r="S76" t="s">
        <v>144</v>
      </c>
      <c r="T76">
        <v>2500</v>
      </c>
      <c r="U76">
        <f>shark_tank__1[[#This Row],[Cleaned Yearly Revenue]]/12</f>
        <v>208.33333333333334</v>
      </c>
      <c r="V76">
        <v>50</v>
      </c>
      <c r="X76">
        <v>30</v>
      </c>
      <c r="Y76">
        <v>5</v>
      </c>
      <c r="Z76">
        <v>600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56" x14ac:dyDescent="0.3">
      <c r="A77">
        <v>1</v>
      </c>
      <c r="B77" s="4">
        <v>44550</v>
      </c>
      <c r="C77" s="4">
        <v>44596</v>
      </c>
      <c r="D77">
        <v>23</v>
      </c>
      <c r="E77" t="s">
        <v>359</v>
      </c>
      <c r="F77">
        <v>76</v>
      </c>
      <c r="G77" t="s">
        <v>1186</v>
      </c>
      <c r="H77" t="s">
        <v>79</v>
      </c>
      <c r="I77" t="s">
        <v>370</v>
      </c>
      <c r="J77" t="s">
        <v>371</v>
      </c>
      <c r="K77">
        <v>2</v>
      </c>
      <c r="L77">
        <v>1</v>
      </c>
      <c r="M77">
        <v>1</v>
      </c>
      <c r="N77">
        <v>0</v>
      </c>
      <c r="O77">
        <v>0</v>
      </c>
      <c r="P77" t="s">
        <v>75</v>
      </c>
      <c r="Q77">
        <v>2019</v>
      </c>
      <c r="R77" t="s">
        <v>70</v>
      </c>
      <c r="S77" t="s">
        <v>70</v>
      </c>
      <c r="T77">
        <v>168</v>
      </c>
      <c r="U77">
        <f>shark_tank__1[[#This Row],[Cleaned Yearly Revenue]]/12</f>
        <v>14</v>
      </c>
      <c r="X77">
        <v>75</v>
      </c>
      <c r="Y77">
        <v>5</v>
      </c>
      <c r="Z77">
        <v>1500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56" x14ac:dyDescent="0.3">
      <c r="A78">
        <v>1</v>
      </c>
      <c r="B78" s="4">
        <v>44550</v>
      </c>
      <c r="C78" s="4">
        <v>44596</v>
      </c>
      <c r="D78">
        <v>24</v>
      </c>
      <c r="E78" t="s">
        <v>372</v>
      </c>
      <c r="F78">
        <v>77</v>
      </c>
      <c r="G78" t="s">
        <v>1187</v>
      </c>
      <c r="H78" t="s">
        <v>79</v>
      </c>
      <c r="I78" t="s">
        <v>374</v>
      </c>
      <c r="J78" t="s">
        <v>375</v>
      </c>
      <c r="K78">
        <v>1</v>
      </c>
      <c r="L78">
        <v>0</v>
      </c>
      <c r="M78">
        <v>1</v>
      </c>
      <c r="N78">
        <v>0</v>
      </c>
      <c r="O78">
        <v>0</v>
      </c>
      <c r="P78" t="s">
        <v>75</v>
      </c>
      <c r="Q78">
        <v>2021</v>
      </c>
      <c r="R78" t="s">
        <v>134</v>
      </c>
      <c r="S78" t="s">
        <v>99</v>
      </c>
      <c r="T78">
        <v>84</v>
      </c>
      <c r="U78">
        <f>shark_tank__1[[#This Row],[Cleaned Yearly Revenue]]/12</f>
        <v>7</v>
      </c>
      <c r="V78">
        <v>65</v>
      </c>
      <c r="X78">
        <v>40</v>
      </c>
      <c r="Y78">
        <v>8</v>
      </c>
      <c r="Z78">
        <v>500</v>
      </c>
      <c r="AA78">
        <v>1</v>
      </c>
      <c r="AB78">
        <v>1</v>
      </c>
      <c r="AC78">
        <v>50</v>
      </c>
      <c r="AD78">
        <v>35</v>
      </c>
      <c r="AE78">
        <v>0</v>
      </c>
      <c r="AF78">
        <v>0</v>
      </c>
      <c r="AG78">
        <v>143</v>
      </c>
      <c r="AH78">
        <v>2</v>
      </c>
      <c r="AQ78">
        <v>25</v>
      </c>
      <c r="AR78">
        <v>17.5</v>
      </c>
      <c r="BC78">
        <v>25</v>
      </c>
      <c r="BD78">
        <v>17.5</v>
      </c>
    </row>
    <row r="79" spans="1:56" x14ac:dyDescent="0.3">
      <c r="A79">
        <v>1</v>
      </c>
      <c r="B79" s="4">
        <v>44550</v>
      </c>
      <c r="C79" s="4">
        <v>44596</v>
      </c>
      <c r="D79">
        <v>24</v>
      </c>
      <c r="E79" t="s">
        <v>372</v>
      </c>
      <c r="F79">
        <v>78</v>
      </c>
      <c r="G79" t="s">
        <v>1348</v>
      </c>
      <c r="H79" t="s">
        <v>95</v>
      </c>
      <c r="I79" t="s">
        <v>377</v>
      </c>
      <c r="J79" t="s">
        <v>1309</v>
      </c>
      <c r="K79">
        <v>2</v>
      </c>
      <c r="L79">
        <v>2</v>
      </c>
      <c r="M79">
        <v>0</v>
      </c>
      <c r="N79">
        <v>0</v>
      </c>
      <c r="O79">
        <v>0</v>
      </c>
      <c r="P79" t="s">
        <v>75</v>
      </c>
      <c r="Q79">
        <v>2014</v>
      </c>
      <c r="R79" t="s">
        <v>378</v>
      </c>
      <c r="S79" t="s">
        <v>99</v>
      </c>
      <c r="U79">
        <f>shark_tank__1[[#This Row],[Cleaned Yearly Revenue]]/12</f>
        <v>0</v>
      </c>
      <c r="X79">
        <v>30</v>
      </c>
      <c r="Y79">
        <v>10</v>
      </c>
      <c r="Z79">
        <v>300</v>
      </c>
      <c r="AA79">
        <v>1</v>
      </c>
      <c r="AB79">
        <v>1</v>
      </c>
      <c r="AC79">
        <v>10</v>
      </c>
      <c r="AD79">
        <v>40</v>
      </c>
      <c r="AE79">
        <v>20</v>
      </c>
      <c r="AF79">
        <v>0</v>
      </c>
      <c r="AG79">
        <v>25</v>
      </c>
      <c r="AH79">
        <v>1</v>
      </c>
      <c r="AZ79">
        <v>10</v>
      </c>
      <c r="BA79">
        <v>40</v>
      </c>
      <c r="BB79">
        <v>20</v>
      </c>
    </row>
    <row r="80" spans="1:56" x14ac:dyDescent="0.3">
      <c r="A80">
        <v>1</v>
      </c>
      <c r="B80" s="4">
        <v>44550</v>
      </c>
      <c r="C80" s="4">
        <v>44596</v>
      </c>
      <c r="D80">
        <v>24</v>
      </c>
      <c r="E80" t="s">
        <v>372</v>
      </c>
      <c r="F80">
        <v>79</v>
      </c>
      <c r="G80" t="s">
        <v>1188</v>
      </c>
      <c r="H80" t="s">
        <v>66</v>
      </c>
      <c r="I80" t="s">
        <v>1349</v>
      </c>
      <c r="J80" t="s">
        <v>381</v>
      </c>
      <c r="K80">
        <v>2</v>
      </c>
      <c r="L80">
        <v>1</v>
      </c>
      <c r="M80">
        <v>1</v>
      </c>
      <c r="N80">
        <v>0</v>
      </c>
      <c r="O80">
        <v>0</v>
      </c>
      <c r="P80" t="s">
        <v>69</v>
      </c>
      <c r="Q80">
        <v>2019</v>
      </c>
      <c r="R80" t="s">
        <v>195</v>
      </c>
      <c r="S80" t="s">
        <v>196</v>
      </c>
      <c r="T80">
        <v>17.399999999999999</v>
      </c>
      <c r="U80">
        <f>shark_tank__1[[#This Row],[Cleaned Yearly Revenue]]/12</f>
        <v>1.45</v>
      </c>
      <c r="X80">
        <v>20</v>
      </c>
      <c r="Y80">
        <v>10</v>
      </c>
      <c r="Z80">
        <v>200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56" x14ac:dyDescent="0.3">
      <c r="A81">
        <v>1</v>
      </c>
      <c r="B81" s="4">
        <v>44550</v>
      </c>
      <c r="C81" s="4">
        <v>44596</v>
      </c>
      <c r="D81">
        <v>25</v>
      </c>
      <c r="E81" t="s">
        <v>382</v>
      </c>
      <c r="F81">
        <v>80</v>
      </c>
      <c r="G81" t="s">
        <v>1189</v>
      </c>
      <c r="H81" t="s">
        <v>268</v>
      </c>
      <c r="I81" t="s">
        <v>384</v>
      </c>
      <c r="J81" t="s">
        <v>385</v>
      </c>
      <c r="K81">
        <v>1</v>
      </c>
      <c r="L81">
        <v>0</v>
      </c>
      <c r="M81">
        <v>1</v>
      </c>
      <c r="N81">
        <v>0</v>
      </c>
      <c r="O81">
        <v>0</v>
      </c>
      <c r="P81" t="s">
        <v>75</v>
      </c>
      <c r="Q81">
        <v>2016</v>
      </c>
      <c r="R81" t="s">
        <v>134</v>
      </c>
      <c r="S81" t="s">
        <v>99</v>
      </c>
      <c r="T81">
        <v>240</v>
      </c>
      <c r="U81">
        <f>shark_tank__1[[#This Row],[Cleaned Yearly Revenue]]/12</f>
        <v>20</v>
      </c>
      <c r="X81">
        <v>50</v>
      </c>
      <c r="Y81">
        <v>4</v>
      </c>
      <c r="Z81">
        <v>1250</v>
      </c>
      <c r="AA81">
        <v>1</v>
      </c>
      <c r="AB81">
        <v>1</v>
      </c>
      <c r="AC81">
        <v>50</v>
      </c>
      <c r="AD81">
        <v>15</v>
      </c>
      <c r="AE81">
        <v>0</v>
      </c>
      <c r="AF81">
        <v>0</v>
      </c>
      <c r="AG81">
        <v>333</v>
      </c>
      <c r="AH81">
        <v>1</v>
      </c>
      <c r="AQ81">
        <v>50</v>
      </c>
      <c r="AR81">
        <v>15</v>
      </c>
    </row>
    <row r="82" spans="1:56" x14ac:dyDescent="0.3">
      <c r="A82">
        <v>1</v>
      </c>
      <c r="B82" s="4">
        <v>44550</v>
      </c>
      <c r="C82" s="4">
        <v>44596</v>
      </c>
      <c r="D82">
        <v>25</v>
      </c>
      <c r="E82" t="s">
        <v>382</v>
      </c>
      <c r="F82">
        <v>81</v>
      </c>
      <c r="G82" t="s">
        <v>1190</v>
      </c>
      <c r="H82" t="s">
        <v>173</v>
      </c>
      <c r="I82" t="s">
        <v>1350</v>
      </c>
      <c r="J82" t="s">
        <v>388</v>
      </c>
      <c r="K82">
        <v>4</v>
      </c>
      <c r="L82">
        <v>4</v>
      </c>
      <c r="M82">
        <v>0</v>
      </c>
      <c r="N82">
        <v>0</v>
      </c>
      <c r="O82">
        <v>0</v>
      </c>
      <c r="P82" t="s">
        <v>75</v>
      </c>
      <c r="Q82">
        <v>2016</v>
      </c>
      <c r="R82" t="s">
        <v>389</v>
      </c>
      <c r="S82" t="s">
        <v>390</v>
      </c>
      <c r="T82">
        <v>120</v>
      </c>
      <c r="U82">
        <f>shark_tank__1[[#This Row],[Cleaned Yearly Revenue]]/12</f>
        <v>10</v>
      </c>
      <c r="X82">
        <v>100</v>
      </c>
      <c r="Y82">
        <v>2</v>
      </c>
      <c r="Z82">
        <v>5000</v>
      </c>
      <c r="AA82">
        <v>1</v>
      </c>
      <c r="AB82">
        <v>1</v>
      </c>
      <c r="AC82">
        <v>100</v>
      </c>
      <c r="AD82">
        <v>6</v>
      </c>
      <c r="AE82">
        <v>0</v>
      </c>
      <c r="AF82">
        <v>0</v>
      </c>
      <c r="AG82">
        <v>1667</v>
      </c>
      <c r="AH82">
        <v>5</v>
      </c>
      <c r="AN82">
        <v>20</v>
      </c>
      <c r="AO82">
        <v>1.2</v>
      </c>
      <c r="AQ82">
        <v>20</v>
      </c>
      <c r="AR82">
        <v>1.2</v>
      </c>
      <c r="AT82">
        <v>20</v>
      </c>
      <c r="AU82">
        <v>1.2</v>
      </c>
      <c r="AZ82">
        <v>20</v>
      </c>
      <c r="BA82">
        <v>1.2</v>
      </c>
      <c r="BC82">
        <v>20</v>
      </c>
      <c r="BD82">
        <v>1.2</v>
      </c>
    </row>
    <row r="83" spans="1:56" x14ac:dyDescent="0.3">
      <c r="A83">
        <v>1</v>
      </c>
      <c r="B83" s="4">
        <v>44550</v>
      </c>
      <c r="C83" s="4">
        <v>44596</v>
      </c>
      <c r="D83">
        <v>25</v>
      </c>
      <c r="E83" t="s">
        <v>382</v>
      </c>
      <c r="F83">
        <v>82</v>
      </c>
      <c r="G83" t="s">
        <v>391</v>
      </c>
      <c r="H83" t="s">
        <v>66</v>
      </c>
      <c r="I83" t="s">
        <v>1351</v>
      </c>
      <c r="J83" t="s">
        <v>393</v>
      </c>
      <c r="K83">
        <v>4</v>
      </c>
      <c r="L83">
        <v>4</v>
      </c>
      <c r="M83">
        <v>0</v>
      </c>
      <c r="N83">
        <v>0</v>
      </c>
      <c r="O83">
        <v>0</v>
      </c>
      <c r="P83" t="s">
        <v>75</v>
      </c>
      <c r="Q83">
        <v>2016</v>
      </c>
      <c r="R83" t="s">
        <v>394</v>
      </c>
      <c r="S83" t="s">
        <v>77</v>
      </c>
      <c r="T83">
        <v>1000</v>
      </c>
      <c r="U83">
        <f>shark_tank__1[[#This Row],[Cleaned Yearly Revenue]]/12</f>
        <v>83.333333333333329</v>
      </c>
      <c r="V83">
        <v>38</v>
      </c>
      <c r="X83">
        <v>150</v>
      </c>
      <c r="Y83">
        <v>2</v>
      </c>
      <c r="Z83">
        <v>7500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56" x14ac:dyDescent="0.3">
      <c r="A84">
        <v>1</v>
      </c>
      <c r="B84" s="4">
        <v>44550</v>
      </c>
      <c r="C84" s="4">
        <v>44596</v>
      </c>
      <c r="D84">
        <v>26</v>
      </c>
      <c r="E84" t="s">
        <v>395</v>
      </c>
      <c r="F84">
        <v>83</v>
      </c>
      <c r="G84" t="s">
        <v>1191</v>
      </c>
      <c r="H84" t="s">
        <v>79</v>
      </c>
      <c r="I84" t="s">
        <v>397</v>
      </c>
      <c r="J84" t="s">
        <v>398</v>
      </c>
      <c r="K84">
        <v>1</v>
      </c>
      <c r="L84">
        <v>0</v>
      </c>
      <c r="M84">
        <v>1</v>
      </c>
      <c r="N84">
        <v>0</v>
      </c>
      <c r="O84">
        <v>0</v>
      </c>
      <c r="P84" t="s">
        <v>75</v>
      </c>
      <c r="Q84">
        <v>2016</v>
      </c>
      <c r="R84" t="s">
        <v>399</v>
      </c>
      <c r="S84" t="s">
        <v>345</v>
      </c>
      <c r="T84">
        <v>42</v>
      </c>
      <c r="U84">
        <f>shark_tank__1[[#This Row],[Cleaned Yearly Revenue]]/12</f>
        <v>3.5</v>
      </c>
      <c r="X84">
        <v>50</v>
      </c>
      <c r="Y84">
        <v>8</v>
      </c>
      <c r="Z84">
        <v>625</v>
      </c>
      <c r="AA84">
        <v>1</v>
      </c>
      <c r="AB84">
        <v>1</v>
      </c>
      <c r="AC84">
        <v>50</v>
      </c>
      <c r="AD84">
        <v>50</v>
      </c>
      <c r="AE84">
        <v>0</v>
      </c>
      <c r="AF84">
        <v>0</v>
      </c>
      <c r="AG84">
        <v>100</v>
      </c>
      <c r="AH84">
        <v>1</v>
      </c>
      <c r="AZ84">
        <v>50</v>
      </c>
      <c r="BA84">
        <v>50</v>
      </c>
    </row>
    <row r="85" spans="1:56" x14ac:dyDescent="0.3">
      <c r="A85">
        <v>1</v>
      </c>
      <c r="B85" s="4">
        <v>44550</v>
      </c>
      <c r="C85" s="4">
        <v>44596</v>
      </c>
      <c r="D85">
        <v>26</v>
      </c>
      <c r="E85" t="s">
        <v>395</v>
      </c>
      <c r="F85">
        <v>84</v>
      </c>
      <c r="G85" t="s">
        <v>1192</v>
      </c>
      <c r="H85" t="s">
        <v>182</v>
      </c>
      <c r="I85" t="s">
        <v>401</v>
      </c>
      <c r="J85" t="s">
        <v>402</v>
      </c>
      <c r="K85">
        <v>3</v>
      </c>
      <c r="L85">
        <v>3</v>
      </c>
      <c r="M85">
        <v>0</v>
      </c>
      <c r="N85">
        <v>0</v>
      </c>
      <c r="O85">
        <v>0</v>
      </c>
      <c r="P85" t="s">
        <v>69</v>
      </c>
      <c r="Q85">
        <v>2022</v>
      </c>
      <c r="R85" t="s">
        <v>76</v>
      </c>
      <c r="S85" t="s">
        <v>77</v>
      </c>
      <c r="T85">
        <v>0</v>
      </c>
      <c r="U85">
        <f>shark_tank__1[[#This Row],[Cleaned Yearly Revenue]]/12</f>
        <v>0</v>
      </c>
      <c r="X85">
        <v>50</v>
      </c>
      <c r="Y85">
        <v>10</v>
      </c>
      <c r="Z85">
        <v>500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56" x14ac:dyDescent="0.3">
      <c r="A86">
        <v>1</v>
      </c>
      <c r="B86" s="4">
        <v>44550</v>
      </c>
      <c r="C86" s="4">
        <v>44596</v>
      </c>
      <c r="D86">
        <v>26</v>
      </c>
      <c r="E86" t="s">
        <v>395</v>
      </c>
      <c r="F86">
        <v>85</v>
      </c>
      <c r="G86" t="s">
        <v>1193</v>
      </c>
      <c r="H86" t="s">
        <v>182</v>
      </c>
      <c r="I86" t="s">
        <v>404</v>
      </c>
      <c r="J86" t="s">
        <v>405</v>
      </c>
      <c r="K86">
        <v>2</v>
      </c>
      <c r="L86">
        <v>2</v>
      </c>
      <c r="M86">
        <v>0</v>
      </c>
      <c r="N86">
        <v>0</v>
      </c>
      <c r="O86">
        <v>0</v>
      </c>
      <c r="P86" t="s">
        <v>69</v>
      </c>
      <c r="Q86">
        <v>2015</v>
      </c>
      <c r="R86" t="s">
        <v>185</v>
      </c>
      <c r="S86" t="s">
        <v>186</v>
      </c>
      <c r="T86">
        <v>144</v>
      </c>
      <c r="U86">
        <f>shark_tank__1[[#This Row],[Cleaned Yearly Revenue]]/12</f>
        <v>12</v>
      </c>
      <c r="X86">
        <v>65</v>
      </c>
      <c r="Y86">
        <v>1</v>
      </c>
      <c r="Z86">
        <v>6500</v>
      </c>
      <c r="AA86">
        <v>1</v>
      </c>
      <c r="AB86">
        <v>1</v>
      </c>
      <c r="AC86">
        <v>65</v>
      </c>
      <c r="AD86">
        <v>3</v>
      </c>
      <c r="AE86">
        <v>0</v>
      </c>
      <c r="AF86">
        <v>0</v>
      </c>
      <c r="AG86">
        <v>2167</v>
      </c>
      <c r="AH86">
        <v>1</v>
      </c>
      <c r="AN86">
        <v>65</v>
      </c>
      <c r="AO86">
        <v>3</v>
      </c>
    </row>
    <row r="87" spans="1:56" x14ac:dyDescent="0.3">
      <c r="A87">
        <v>1</v>
      </c>
      <c r="B87" s="4">
        <v>44550</v>
      </c>
      <c r="C87" s="4">
        <v>44596</v>
      </c>
      <c r="D87">
        <v>27</v>
      </c>
      <c r="E87" t="s">
        <v>406</v>
      </c>
      <c r="F87">
        <v>86</v>
      </c>
      <c r="G87" t="s">
        <v>1194</v>
      </c>
      <c r="H87" t="s">
        <v>66</v>
      </c>
      <c r="I87" t="s">
        <v>408</v>
      </c>
      <c r="J87" t="s">
        <v>409</v>
      </c>
      <c r="K87">
        <v>1</v>
      </c>
      <c r="L87">
        <v>1</v>
      </c>
      <c r="M87">
        <v>0</v>
      </c>
      <c r="N87">
        <v>0</v>
      </c>
      <c r="O87">
        <v>0</v>
      </c>
      <c r="P87" t="s">
        <v>75</v>
      </c>
      <c r="Q87">
        <v>2018</v>
      </c>
      <c r="R87" t="s">
        <v>410</v>
      </c>
      <c r="S87" t="s">
        <v>77</v>
      </c>
      <c r="T87">
        <v>180</v>
      </c>
      <c r="U87">
        <f>shark_tank__1[[#This Row],[Cleaned Yearly Revenue]]/12</f>
        <v>15</v>
      </c>
      <c r="X87">
        <v>50</v>
      </c>
      <c r="Y87">
        <v>10</v>
      </c>
      <c r="Z87">
        <v>500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56" x14ac:dyDescent="0.3">
      <c r="A88">
        <v>1</v>
      </c>
      <c r="B88" s="4">
        <v>44550</v>
      </c>
      <c r="C88" s="4">
        <v>44596</v>
      </c>
      <c r="D88">
        <v>27</v>
      </c>
      <c r="E88" t="s">
        <v>406</v>
      </c>
      <c r="F88">
        <v>87</v>
      </c>
      <c r="G88" t="s">
        <v>1195</v>
      </c>
      <c r="H88" t="s">
        <v>173</v>
      </c>
      <c r="I88" t="s">
        <v>1352</v>
      </c>
      <c r="J88" t="s">
        <v>413</v>
      </c>
      <c r="K88">
        <v>1</v>
      </c>
      <c r="L88">
        <v>1</v>
      </c>
      <c r="M88">
        <v>0</v>
      </c>
      <c r="N88">
        <v>0</v>
      </c>
      <c r="O88">
        <v>0</v>
      </c>
      <c r="P88" t="s">
        <v>75</v>
      </c>
      <c r="Q88">
        <v>2020</v>
      </c>
      <c r="R88" t="s">
        <v>165</v>
      </c>
      <c r="S88" t="s">
        <v>99</v>
      </c>
      <c r="U88">
        <f>shark_tank__1[[#This Row],[Cleaned Yearly Revenue]]/12</f>
        <v>0</v>
      </c>
      <c r="X88">
        <v>0</v>
      </c>
      <c r="Y88">
        <v>2</v>
      </c>
      <c r="Z88">
        <v>0</v>
      </c>
      <c r="AA88">
        <v>1</v>
      </c>
      <c r="AB88">
        <v>1</v>
      </c>
      <c r="AC88">
        <v>1.01E-3</v>
      </c>
      <c r="AD88">
        <v>4</v>
      </c>
      <c r="AE88">
        <v>0</v>
      </c>
      <c r="AF88">
        <v>0</v>
      </c>
      <c r="AG88">
        <v>0</v>
      </c>
      <c r="AH88">
        <v>4</v>
      </c>
      <c r="AN88">
        <v>2.5250000000000001E-4</v>
      </c>
      <c r="AO88">
        <v>1</v>
      </c>
      <c r="AQ88">
        <v>2.5250000000000001E-4</v>
      </c>
      <c r="AR88">
        <v>1</v>
      </c>
      <c r="AZ88">
        <v>2.5250000000000001E-4</v>
      </c>
      <c r="BA88">
        <v>1</v>
      </c>
      <c r="BC88">
        <v>2.5250000000000001E-4</v>
      </c>
      <c r="BD88">
        <v>1</v>
      </c>
    </row>
    <row r="89" spans="1:56" x14ac:dyDescent="0.3">
      <c r="A89">
        <v>1</v>
      </c>
      <c r="B89" s="4">
        <v>44550</v>
      </c>
      <c r="C89" s="4">
        <v>44596</v>
      </c>
      <c r="D89">
        <v>27</v>
      </c>
      <c r="E89" t="s">
        <v>406</v>
      </c>
      <c r="F89">
        <v>88</v>
      </c>
      <c r="G89" t="s">
        <v>1196</v>
      </c>
      <c r="H89" t="s">
        <v>225</v>
      </c>
      <c r="I89" t="s">
        <v>415</v>
      </c>
      <c r="J89" t="s">
        <v>416</v>
      </c>
      <c r="K89">
        <v>6</v>
      </c>
      <c r="L89">
        <v>6</v>
      </c>
      <c r="M89">
        <v>0</v>
      </c>
      <c r="N89">
        <v>0</v>
      </c>
      <c r="O89">
        <v>0</v>
      </c>
      <c r="P89" t="s">
        <v>75</v>
      </c>
      <c r="Q89">
        <v>2020</v>
      </c>
      <c r="R89" t="s">
        <v>417</v>
      </c>
      <c r="S89" t="s">
        <v>345</v>
      </c>
      <c r="T89">
        <v>90</v>
      </c>
      <c r="U89">
        <f>shark_tank__1[[#This Row],[Cleaned Yearly Revenue]]/12</f>
        <v>7.5</v>
      </c>
      <c r="V89">
        <v>40</v>
      </c>
      <c r="X89">
        <v>60</v>
      </c>
      <c r="Y89">
        <v>5</v>
      </c>
      <c r="Z89">
        <v>1200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56" x14ac:dyDescent="0.3">
      <c r="A90">
        <v>1</v>
      </c>
      <c r="B90" s="4">
        <v>44550</v>
      </c>
      <c r="C90" s="4">
        <v>44596</v>
      </c>
      <c r="D90">
        <v>27</v>
      </c>
      <c r="E90" t="s">
        <v>406</v>
      </c>
      <c r="F90">
        <v>89</v>
      </c>
      <c r="G90" t="s">
        <v>1197</v>
      </c>
      <c r="H90" t="s">
        <v>286</v>
      </c>
      <c r="I90" t="s">
        <v>419</v>
      </c>
      <c r="J90" t="s">
        <v>420</v>
      </c>
      <c r="K90">
        <v>3</v>
      </c>
      <c r="L90">
        <v>2</v>
      </c>
      <c r="M90">
        <v>1</v>
      </c>
      <c r="N90">
        <v>0</v>
      </c>
      <c r="O90">
        <v>0</v>
      </c>
      <c r="P90" t="s">
        <v>69</v>
      </c>
      <c r="Q90">
        <v>2016</v>
      </c>
      <c r="R90" t="s">
        <v>417</v>
      </c>
      <c r="S90" t="s">
        <v>345</v>
      </c>
      <c r="T90">
        <v>264</v>
      </c>
      <c r="U90">
        <f>shark_tank__1[[#This Row],[Cleaned Yearly Revenue]]/12</f>
        <v>22</v>
      </c>
      <c r="X90">
        <v>100</v>
      </c>
      <c r="Y90">
        <v>1</v>
      </c>
      <c r="Z90">
        <v>10000</v>
      </c>
      <c r="AA90">
        <v>1</v>
      </c>
      <c r="AB90">
        <v>1</v>
      </c>
      <c r="AC90">
        <v>100</v>
      </c>
      <c r="AD90">
        <v>4</v>
      </c>
      <c r="AE90">
        <v>0</v>
      </c>
      <c r="AF90">
        <v>0</v>
      </c>
      <c r="AG90">
        <v>2500</v>
      </c>
      <c r="AH90">
        <v>1</v>
      </c>
      <c r="AZ90">
        <v>100</v>
      </c>
      <c r="BA90">
        <v>4</v>
      </c>
    </row>
    <row r="91" spans="1:56" x14ac:dyDescent="0.3">
      <c r="A91">
        <v>1</v>
      </c>
      <c r="B91" s="4">
        <v>44550</v>
      </c>
      <c r="C91" s="4">
        <v>44596</v>
      </c>
      <c r="D91">
        <v>28</v>
      </c>
      <c r="E91" t="s">
        <v>421</v>
      </c>
      <c r="F91">
        <v>90</v>
      </c>
      <c r="G91" t="s">
        <v>1198</v>
      </c>
      <c r="H91" t="s">
        <v>66</v>
      </c>
      <c r="I91" t="s">
        <v>423</v>
      </c>
      <c r="J91" t="s">
        <v>424</v>
      </c>
      <c r="K91">
        <v>3</v>
      </c>
      <c r="L91">
        <v>2</v>
      </c>
      <c r="M91">
        <v>1</v>
      </c>
      <c r="N91">
        <v>0</v>
      </c>
      <c r="O91">
        <v>0</v>
      </c>
      <c r="P91" t="s">
        <v>69</v>
      </c>
      <c r="Q91">
        <v>2017</v>
      </c>
      <c r="R91" t="s">
        <v>165</v>
      </c>
      <c r="S91" t="s">
        <v>99</v>
      </c>
      <c r="T91">
        <v>208</v>
      </c>
      <c r="U91">
        <f>shark_tank__1[[#This Row],[Cleaned Yearly Revenue]]/12</f>
        <v>17.333333333333332</v>
      </c>
      <c r="V91">
        <v>44</v>
      </c>
      <c r="X91">
        <v>75</v>
      </c>
      <c r="Y91">
        <v>4</v>
      </c>
      <c r="Z91">
        <v>1875</v>
      </c>
      <c r="AA91">
        <v>1</v>
      </c>
      <c r="AB91">
        <v>1</v>
      </c>
      <c r="AC91">
        <v>100</v>
      </c>
      <c r="AD91">
        <v>15</v>
      </c>
      <c r="AE91">
        <v>0</v>
      </c>
      <c r="AF91">
        <v>0</v>
      </c>
      <c r="AG91">
        <v>667</v>
      </c>
      <c r="AH91">
        <v>3</v>
      </c>
      <c r="AT91">
        <v>33.33</v>
      </c>
      <c r="AU91">
        <v>5</v>
      </c>
      <c r="AZ91">
        <v>33.33</v>
      </c>
      <c r="BA91">
        <v>5</v>
      </c>
      <c r="BC91">
        <v>33.33</v>
      </c>
      <c r="BD91">
        <v>5</v>
      </c>
    </row>
    <row r="92" spans="1:56" x14ac:dyDescent="0.3">
      <c r="A92">
        <v>1</v>
      </c>
      <c r="B92" s="4">
        <v>44550</v>
      </c>
      <c r="C92" s="4">
        <v>44596</v>
      </c>
      <c r="D92">
        <v>28</v>
      </c>
      <c r="E92" t="s">
        <v>421</v>
      </c>
      <c r="F92">
        <v>91</v>
      </c>
      <c r="G92" t="s">
        <v>1199</v>
      </c>
      <c r="H92" t="s">
        <v>66</v>
      </c>
      <c r="I92" t="s">
        <v>1353</v>
      </c>
      <c r="J92" t="s">
        <v>427</v>
      </c>
      <c r="K92">
        <v>2</v>
      </c>
      <c r="L92">
        <v>1</v>
      </c>
      <c r="M92">
        <v>1</v>
      </c>
      <c r="N92">
        <v>0</v>
      </c>
      <c r="O92">
        <v>1</v>
      </c>
      <c r="P92" t="s">
        <v>75</v>
      </c>
      <c r="Q92">
        <v>2018</v>
      </c>
      <c r="R92" t="s">
        <v>428</v>
      </c>
      <c r="S92" t="s">
        <v>87</v>
      </c>
      <c r="T92">
        <v>200</v>
      </c>
      <c r="U92">
        <f>shark_tank__1[[#This Row],[Cleaned Yearly Revenue]]/12</f>
        <v>16.666666666666668</v>
      </c>
      <c r="V92">
        <v>30</v>
      </c>
      <c r="X92">
        <v>90</v>
      </c>
      <c r="Y92">
        <v>5</v>
      </c>
      <c r="Z92">
        <v>1800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56" x14ac:dyDescent="0.3">
      <c r="A93">
        <v>1</v>
      </c>
      <c r="B93" s="4">
        <v>44550</v>
      </c>
      <c r="C93" s="4">
        <v>44596</v>
      </c>
      <c r="D93">
        <v>28</v>
      </c>
      <c r="E93" t="s">
        <v>421</v>
      </c>
      <c r="F93">
        <v>92</v>
      </c>
      <c r="G93" t="s">
        <v>1200</v>
      </c>
      <c r="H93" t="s">
        <v>182</v>
      </c>
      <c r="I93" t="s">
        <v>430</v>
      </c>
      <c r="J93" t="s">
        <v>431</v>
      </c>
      <c r="K93">
        <v>2</v>
      </c>
      <c r="L93">
        <v>2</v>
      </c>
      <c r="M93">
        <v>0</v>
      </c>
      <c r="N93">
        <v>0</v>
      </c>
      <c r="O93">
        <v>0</v>
      </c>
      <c r="P93" t="s">
        <v>69</v>
      </c>
      <c r="Q93">
        <v>2017</v>
      </c>
      <c r="R93" t="s">
        <v>134</v>
      </c>
      <c r="S93" t="s">
        <v>99</v>
      </c>
      <c r="T93">
        <v>50</v>
      </c>
      <c r="U93">
        <f>shark_tank__1[[#This Row],[Cleaned Yearly Revenue]]/12</f>
        <v>4.166666666666667</v>
      </c>
      <c r="V93">
        <v>25</v>
      </c>
      <c r="X93">
        <v>50</v>
      </c>
      <c r="Y93">
        <v>5</v>
      </c>
      <c r="Z93">
        <v>1000</v>
      </c>
      <c r="AA93">
        <v>1</v>
      </c>
      <c r="AB93">
        <v>1</v>
      </c>
      <c r="AC93">
        <v>50</v>
      </c>
      <c r="AD93">
        <v>30</v>
      </c>
      <c r="AE93">
        <v>0</v>
      </c>
      <c r="AF93">
        <v>0</v>
      </c>
      <c r="AG93">
        <v>167</v>
      </c>
      <c r="AH93">
        <v>3</v>
      </c>
      <c r="AT93">
        <v>16.66</v>
      </c>
      <c r="AU93">
        <v>10</v>
      </c>
      <c r="AZ93">
        <v>16.66</v>
      </c>
      <c r="BA93">
        <v>10</v>
      </c>
      <c r="BC93">
        <v>16.66</v>
      </c>
      <c r="BD93">
        <v>10</v>
      </c>
    </row>
    <row r="94" spans="1:56" x14ac:dyDescent="0.3">
      <c r="A94">
        <v>1</v>
      </c>
      <c r="B94" s="4">
        <v>44550</v>
      </c>
      <c r="C94" s="4">
        <v>44596</v>
      </c>
      <c r="D94">
        <v>29</v>
      </c>
      <c r="E94" t="s">
        <v>432</v>
      </c>
      <c r="F94">
        <v>93</v>
      </c>
      <c r="G94" t="s">
        <v>1201</v>
      </c>
      <c r="H94" t="s">
        <v>66</v>
      </c>
      <c r="I94" t="s">
        <v>434</v>
      </c>
      <c r="J94" t="s">
        <v>435</v>
      </c>
      <c r="K94">
        <v>1</v>
      </c>
      <c r="L94">
        <v>1</v>
      </c>
      <c r="M94">
        <v>0</v>
      </c>
      <c r="N94">
        <v>0</v>
      </c>
      <c r="O94">
        <v>0</v>
      </c>
      <c r="P94" t="s">
        <v>69</v>
      </c>
      <c r="Q94">
        <v>2021</v>
      </c>
      <c r="R94" t="s">
        <v>436</v>
      </c>
      <c r="S94" t="s">
        <v>436</v>
      </c>
      <c r="T94">
        <v>72</v>
      </c>
      <c r="U94">
        <f>shark_tank__1[[#This Row],[Cleaned Yearly Revenue]]/12</f>
        <v>6</v>
      </c>
      <c r="X94">
        <v>75</v>
      </c>
      <c r="Y94">
        <v>5</v>
      </c>
      <c r="Z94">
        <v>1500</v>
      </c>
      <c r="AA94">
        <v>1</v>
      </c>
      <c r="AB94">
        <v>1</v>
      </c>
      <c r="AC94">
        <v>75</v>
      </c>
      <c r="AD94">
        <v>21</v>
      </c>
      <c r="AE94">
        <v>0</v>
      </c>
      <c r="AF94">
        <v>0</v>
      </c>
      <c r="AG94">
        <v>357</v>
      </c>
      <c r="AH94">
        <v>3</v>
      </c>
      <c r="AN94">
        <v>25</v>
      </c>
      <c r="AO94">
        <v>7</v>
      </c>
      <c r="AT94">
        <v>25</v>
      </c>
      <c r="AU94">
        <v>7</v>
      </c>
      <c r="BC94">
        <v>25</v>
      </c>
      <c r="BD94">
        <v>7</v>
      </c>
    </row>
    <row r="95" spans="1:56" x14ac:dyDescent="0.3">
      <c r="A95">
        <v>1</v>
      </c>
      <c r="B95" s="4">
        <v>44550</v>
      </c>
      <c r="C95" s="4">
        <v>44596</v>
      </c>
      <c r="D95">
        <v>29</v>
      </c>
      <c r="E95" t="s">
        <v>432</v>
      </c>
      <c r="F95">
        <v>94</v>
      </c>
      <c r="G95" t="s">
        <v>1354</v>
      </c>
      <c r="H95" t="s">
        <v>182</v>
      </c>
      <c r="I95" t="s">
        <v>438</v>
      </c>
      <c r="J95" t="s">
        <v>439</v>
      </c>
      <c r="K95">
        <v>2</v>
      </c>
      <c r="L95">
        <v>1</v>
      </c>
      <c r="M95">
        <v>1</v>
      </c>
      <c r="N95">
        <v>0</v>
      </c>
      <c r="O95">
        <v>1</v>
      </c>
      <c r="P95" t="s">
        <v>75</v>
      </c>
      <c r="Q95">
        <v>2018</v>
      </c>
      <c r="R95" t="s">
        <v>410</v>
      </c>
      <c r="S95" t="s">
        <v>77</v>
      </c>
      <c r="T95">
        <v>272</v>
      </c>
      <c r="U95">
        <f>shark_tank__1[[#This Row],[Cleaned Yearly Revenue]]/12</f>
        <v>22.666666666666668</v>
      </c>
      <c r="V95">
        <v>30</v>
      </c>
      <c r="X95">
        <v>75</v>
      </c>
      <c r="Y95">
        <v>3</v>
      </c>
      <c r="Z95">
        <v>2500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56" x14ac:dyDescent="0.3">
      <c r="A96">
        <v>1</v>
      </c>
      <c r="B96" s="4">
        <v>44550</v>
      </c>
      <c r="C96" s="4">
        <v>44596</v>
      </c>
      <c r="D96">
        <v>29</v>
      </c>
      <c r="E96" t="s">
        <v>432</v>
      </c>
      <c r="F96">
        <v>95</v>
      </c>
      <c r="G96" t="s">
        <v>1355</v>
      </c>
      <c r="H96" t="s">
        <v>286</v>
      </c>
      <c r="I96" t="s">
        <v>441</v>
      </c>
      <c r="J96" t="s">
        <v>442</v>
      </c>
      <c r="K96">
        <v>2</v>
      </c>
      <c r="L96">
        <v>2</v>
      </c>
      <c r="M96">
        <v>0</v>
      </c>
      <c r="N96">
        <v>0</v>
      </c>
      <c r="O96">
        <v>0</v>
      </c>
      <c r="P96" t="s">
        <v>75</v>
      </c>
      <c r="Q96">
        <v>2017</v>
      </c>
      <c r="R96" t="s">
        <v>134</v>
      </c>
      <c r="S96" t="s">
        <v>99</v>
      </c>
      <c r="T96">
        <v>1020</v>
      </c>
      <c r="U96">
        <f>shark_tank__1[[#This Row],[Cleaned Yearly Revenue]]/12</f>
        <v>85</v>
      </c>
      <c r="X96">
        <v>100</v>
      </c>
      <c r="Y96">
        <v>3.5</v>
      </c>
      <c r="Z96">
        <v>2857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53" x14ac:dyDescent="0.3">
      <c r="A97">
        <v>1</v>
      </c>
      <c r="B97" s="4">
        <v>44550</v>
      </c>
      <c r="C97" s="4">
        <v>44596</v>
      </c>
      <c r="D97">
        <v>30</v>
      </c>
      <c r="E97" t="s">
        <v>443</v>
      </c>
      <c r="F97">
        <v>96</v>
      </c>
      <c r="G97" t="s">
        <v>444</v>
      </c>
      <c r="H97" t="s">
        <v>182</v>
      </c>
      <c r="I97" t="s">
        <v>445</v>
      </c>
      <c r="J97" t="s">
        <v>446</v>
      </c>
      <c r="K97">
        <v>1</v>
      </c>
      <c r="L97">
        <v>1</v>
      </c>
      <c r="M97">
        <v>0</v>
      </c>
      <c r="N97">
        <v>0</v>
      </c>
      <c r="O97">
        <v>0</v>
      </c>
      <c r="P97" t="s">
        <v>69</v>
      </c>
      <c r="Q97">
        <v>2019</v>
      </c>
      <c r="R97" t="s">
        <v>165</v>
      </c>
      <c r="S97" t="s">
        <v>99</v>
      </c>
      <c r="U97">
        <f>shark_tank__1[[#This Row],[Cleaned Yearly Revenue]]/12</f>
        <v>0</v>
      </c>
      <c r="X97">
        <v>75</v>
      </c>
      <c r="Y97">
        <v>15</v>
      </c>
      <c r="Z97">
        <v>500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53" x14ac:dyDescent="0.3">
      <c r="A98">
        <v>1</v>
      </c>
      <c r="B98" s="4">
        <v>44550</v>
      </c>
      <c r="C98" s="4">
        <v>44596</v>
      </c>
      <c r="D98">
        <v>30</v>
      </c>
      <c r="E98" t="s">
        <v>443</v>
      </c>
      <c r="F98">
        <v>97</v>
      </c>
      <c r="G98" t="s">
        <v>1203</v>
      </c>
      <c r="H98" t="s">
        <v>448</v>
      </c>
      <c r="I98" t="s">
        <v>449</v>
      </c>
      <c r="J98" t="s">
        <v>450</v>
      </c>
      <c r="K98">
        <v>2</v>
      </c>
      <c r="L98">
        <v>2</v>
      </c>
      <c r="M98">
        <v>0</v>
      </c>
      <c r="N98">
        <v>0</v>
      </c>
      <c r="O98">
        <v>0</v>
      </c>
      <c r="P98" t="s">
        <v>69</v>
      </c>
      <c r="Q98">
        <v>2019</v>
      </c>
      <c r="R98" t="s">
        <v>86</v>
      </c>
      <c r="S98" t="s">
        <v>87</v>
      </c>
      <c r="T98">
        <v>250</v>
      </c>
      <c r="U98">
        <f>shark_tank__1[[#This Row],[Cleaned Yearly Revenue]]/12</f>
        <v>20.833333333333332</v>
      </c>
      <c r="X98">
        <v>80</v>
      </c>
      <c r="Y98">
        <v>1</v>
      </c>
      <c r="Z98">
        <v>8000</v>
      </c>
      <c r="AA98">
        <v>1</v>
      </c>
      <c r="AB98">
        <v>1</v>
      </c>
      <c r="AC98">
        <v>80</v>
      </c>
      <c r="AD98">
        <v>6</v>
      </c>
      <c r="AE98">
        <v>0</v>
      </c>
      <c r="AF98">
        <v>0</v>
      </c>
      <c r="AG98">
        <v>1333</v>
      </c>
      <c r="AH98">
        <v>2</v>
      </c>
      <c r="AN98">
        <v>40</v>
      </c>
      <c r="AO98">
        <v>3</v>
      </c>
      <c r="AT98">
        <v>40</v>
      </c>
      <c r="AU98">
        <v>3</v>
      </c>
    </row>
    <row r="99" spans="1:53" x14ac:dyDescent="0.3">
      <c r="A99">
        <v>1</v>
      </c>
      <c r="B99" s="4">
        <v>44550</v>
      </c>
      <c r="C99" s="4">
        <v>44596</v>
      </c>
      <c r="D99">
        <v>30</v>
      </c>
      <c r="E99" t="s">
        <v>443</v>
      </c>
      <c r="F99">
        <v>98</v>
      </c>
      <c r="G99" t="s">
        <v>1204</v>
      </c>
      <c r="H99" t="s">
        <v>286</v>
      </c>
      <c r="I99" t="s">
        <v>452</v>
      </c>
      <c r="J99" t="s">
        <v>453</v>
      </c>
      <c r="K99">
        <v>2</v>
      </c>
      <c r="L99">
        <v>1</v>
      </c>
      <c r="M99">
        <v>1</v>
      </c>
      <c r="N99">
        <v>0</v>
      </c>
      <c r="O99">
        <v>1</v>
      </c>
      <c r="P99" t="s">
        <v>75</v>
      </c>
      <c r="Q99">
        <v>2019</v>
      </c>
      <c r="R99" t="s">
        <v>86</v>
      </c>
      <c r="S99" t="s">
        <v>87</v>
      </c>
      <c r="T99">
        <v>900</v>
      </c>
      <c r="U99">
        <f>shark_tank__1[[#This Row],[Cleaned Yearly Revenue]]/12</f>
        <v>75</v>
      </c>
      <c r="V99">
        <v>29</v>
      </c>
      <c r="X99">
        <v>300</v>
      </c>
      <c r="Y99">
        <v>1</v>
      </c>
      <c r="Z99">
        <v>30000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53" x14ac:dyDescent="0.3">
      <c r="A100">
        <v>1</v>
      </c>
      <c r="B100" s="4">
        <v>44550</v>
      </c>
      <c r="C100" s="4">
        <v>44596</v>
      </c>
      <c r="D100">
        <v>30</v>
      </c>
      <c r="E100" t="s">
        <v>443</v>
      </c>
      <c r="F100">
        <v>99</v>
      </c>
      <c r="G100" t="s">
        <v>454</v>
      </c>
      <c r="H100" t="s">
        <v>89</v>
      </c>
      <c r="I100" t="s">
        <v>455</v>
      </c>
      <c r="J100" t="s">
        <v>456</v>
      </c>
      <c r="K100">
        <v>1</v>
      </c>
      <c r="L100">
        <v>1</v>
      </c>
      <c r="M100">
        <v>0</v>
      </c>
      <c r="N100">
        <v>0</v>
      </c>
      <c r="O100">
        <v>0</v>
      </c>
      <c r="P100" t="s">
        <v>69</v>
      </c>
      <c r="Q100" t="s">
        <v>1309</v>
      </c>
      <c r="R100" t="s">
        <v>86</v>
      </c>
      <c r="S100" t="s">
        <v>87</v>
      </c>
      <c r="T100">
        <v>0</v>
      </c>
      <c r="U100">
        <f>shark_tank__1[[#This Row],[Cleaned Yearly Revenue]]/12</f>
        <v>0</v>
      </c>
      <c r="X100">
        <v>50</v>
      </c>
      <c r="Y100">
        <v>7.5</v>
      </c>
      <c r="Z100">
        <v>667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53" x14ac:dyDescent="0.3">
      <c r="A101">
        <v>1</v>
      </c>
      <c r="B101" s="4">
        <v>44550</v>
      </c>
      <c r="C101" s="4">
        <v>44596</v>
      </c>
      <c r="D101">
        <v>31</v>
      </c>
      <c r="E101" t="s">
        <v>457</v>
      </c>
      <c r="F101">
        <v>100</v>
      </c>
      <c r="G101" t="s">
        <v>458</v>
      </c>
      <c r="H101" t="s">
        <v>182</v>
      </c>
      <c r="I101" t="s">
        <v>459</v>
      </c>
      <c r="J101" t="s">
        <v>460</v>
      </c>
      <c r="K101">
        <v>2</v>
      </c>
      <c r="L101">
        <v>0</v>
      </c>
      <c r="M101">
        <v>2</v>
      </c>
      <c r="N101">
        <v>0</v>
      </c>
      <c r="O101">
        <v>0</v>
      </c>
      <c r="P101" t="s">
        <v>69</v>
      </c>
      <c r="Q101">
        <v>2016</v>
      </c>
      <c r="R101" t="s">
        <v>461</v>
      </c>
      <c r="S101" t="s">
        <v>345</v>
      </c>
      <c r="T101">
        <v>24</v>
      </c>
      <c r="U101">
        <f>shark_tank__1[[#This Row],[Cleaned Yearly Revenue]]/12</f>
        <v>2</v>
      </c>
      <c r="X101">
        <v>50</v>
      </c>
      <c r="Y101">
        <v>10</v>
      </c>
      <c r="Z101">
        <v>500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53" x14ac:dyDescent="0.3">
      <c r="A102">
        <v>1</v>
      </c>
      <c r="B102" s="4">
        <v>44550</v>
      </c>
      <c r="C102" s="4">
        <v>44596</v>
      </c>
      <c r="D102">
        <v>31</v>
      </c>
      <c r="E102" t="s">
        <v>457</v>
      </c>
      <c r="F102">
        <v>101</v>
      </c>
      <c r="G102" t="s">
        <v>462</v>
      </c>
      <c r="H102" t="s">
        <v>182</v>
      </c>
      <c r="I102" t="s">
        <v>1356</v>
      </c>
      <c r="J102" t="s">
        <v>464</v>
      </c>
      <c r="K102">
        <v>2</v>
      </c>
      <c r="L102">
        <v>1</v>
      </c>
      <c r="M102">
        <v>1</v>
      </c>
      <c r="N102">
        <v>0</v>
      </c>
      <c r="O102">
        <v>0</v>
      </c>
      <c r="P102" t="s">
        <v>75</v>
      </c>
      <c r="Q102" t="s">
        <v>1309</v>
      </c>
      <c r="R102" t="s">
        <v>465</v>
      </c>
      <c r="S102" t="s">
        <v>122</v>
      </c>
      <c r="T102">
        <v>0</v>
      </c>
      <c r="U102">
        <f>shark_tank__1[[#This Row],[Cleaned Yearly Revenue]]/12</f>
        <v>0</v>
      </c>
      <c r="X102">
        <v>60</v>
      </c>
      <c r="Y102">
        <v>2.5</v>
      </c>
      <c r="Z102">
        <v>2400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53" x14ac:dyDescent="0.3">
      <c r="A103">
        <v>1</v>
      </c>
      <c r="B103" s="4">
        <v>44550</v>
      </c>
      <c r="C103" s="4">
        <v>44596</v>
      </c>
      <c r="D103">
        <v>31</v>
      </c>
      <c r="E103" t="s">
        <v>457</v>
      </c>
      <c r="F103">
        <v>102</v>
      </c>
      <c r="G103" t="s">
        <v>1205</v>
      </c>
      <c r="H103" t="s">
        <v>173</v>
      </c>
      <c r="I103" t="s">
        <v>467</v>
      </c>
      <c r="J103" t="s">
        <v>468</v>
      </c>
      <c r="K103">
        <v>3</v>
      </c>
      <c r="L103">
        <v>3</v>
      </c>
      <c r="M103">
        <v>0</v>
      </c>
      <c r="N103">
        <v>0</v>
      </c>
      <c r="O103">
        <v>0</v>
      </c>
      <c r="P103" t="s">
        <v>69</v>
      </c>
      <c r="Q103">
        <v>2016</v>
      </c>
      <c r="R103" t="s">
        <v>86</v>
      </c>
      <c r="S103" t="s">
        <v>87</v>
      </c>
      <c r="U103">
        <f>shark_tank__1[[#This Row],[Cleaned Yearly Revenue]]/12</f>
        <v>0</v>
      </c>
      <c r="X103">
        <v>75</v>
      </c>
      <c r="Y103">
        <v>2</v>
      </c>
      <c r="Z103">
        <v>3750</v>
      </c>
      <c r="AA103">
        <v>1</v>
      </c>
      <c r="AB103">
        <v>1</v>
      </c>
      <c r="AC103">
        <v>75</v>
      </c>
      <c r="AD103">
        <v>2.68</v>
      </c>
      <c r="AE103">
        <v>0</v>
      </c>
      <c r="AF103">
        <v>0</v>
      </c>
      <c r="AG103">
        <v>2799</v>
      </c>
      <c r="AH103">
        <v>1</v>
      </c>
      <c r="AW103">
        <v>75</v>
      </c>
      <c r="AX103">
        <v>2.68</v>
      </c>
    </row>
    <row r="104" spans="1:53" x14ac:dyDescent="0.3">
      <c r="A104">
        <v>1</v>
      </c>
      <c r="B104" s="4">
        <v>44550</v>
      </c>
      <c r="C104" s="4">
        <v>44596</v>
      </c>
      <c r="D104">
        <v>31</v>
      </c>
      <c r="E104" t="s">
        <v>457</v>
      </c>
      <c r="F104">
        <v>103</v>
      </c>
      <c r="G104" t="s">
        <v>469</v>
      </c>
      <c r="H104" t="s">
        <v>182</v>
      </c>
      <c r="I104" t="s">
        <v>470</v>
      </c>
      <c r="J104" t="s">
        <v>471</v>
      </c>
      <c r="K104">
        <v>2</v>
      </c>
      <c r="L104">
        <v>1</v>
      </c>
      <c r="M104">
        <v>1</v>
      </c>
      <c r="N104">
        <v>0</v>
      </c>
      <c r="O104">
        <v>1</v>
      </c>
      <c r="P104" t="s">
        <v>69</v>
      </c>
      <c r="Q104">
        <v>2021</v>
      </c>
      <c r="R104" t="s">
        <v>472</v>
      </c>
      <c r="S104" t="s">
        <v>191</v>
      </c>
      <c r="T104">
        <v>216</v>
      </c>
      <c r="U104">
        <f>shark_tank__1[[#This Row],[Cleaned Yearly Revenue]]/12</f>
        <v>18</v>
      </c>
      <c r="X104">
        <v>75</v>
      </c>
      <c r="Y104">
        <v>3</v>
      </c>
      <c r="Z104">
        <v>2500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53" x14ac:dyDescent="0.3">
      <c r="A105">
        <v>1</v>
      </c>
      <c r="B105" s="4">
        <v>44550</v>
      </c>
      <c r="C105" s="4">
        <v>44596</v>
      </c>
      <c r="D105">
        <v>32</v>
      </c>
      <c r="E105" t="s">
        <v>473</v>
      </c>
      <c r="F105">
        <v>104</v>
      </c>
      <c r="G105" t="s">
        <v>1206</v>
      </c>
      <c r="H105" t="s">
        <v>286</v>
      </c>
      <c r="I105" t="s">
        <v>475</v>
      </c>
      <c r="J105" t="s">
        <v>476</v>
      </c>
      <c r="K105">
        <v>2</v>
      </c>
      <c r="L105">
        <v>0</v>
      </c>
      <c r="M105">
        <v>2</v>
      </c>
      <c r="N105">
        <v>0</v>
      </c>
      <c r="O105">
        <v>0</v>
      </c>
      <c r="P105" t="s">
        <v>69</v>
      </c>
      <c r="Q105">
        <v>2021</v>
      </c>
      <c r="R105" t="s">
        <v>134</v>
      </c>
      <c r="S105" t="s">
        <v>99</v>
      </c>
      <c r="T105">
        <v>16</v>
      </c>
      <c r="U105">
        <f>shark_tank__1[[#This Row],[Cleaned Yearly Revenue]]/12</f>
        <v>1.3333333333333333</v>
      </c>
      <c r="V105">
        <v>75</v>
      </c>
      <c r="X105">
        <v>80</v>
      </c>
      <c r="Y105">
        <v>7</v>
      </c>
      <c r="Z105">
        <v>1143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53" x14ac:dyDescent="0.3">
      <c r="A106">
        <v>1</v>
      </c>
      <c r="B106" s="4">
        <v>44550</v>
      </c>
      <c r="C106" s="4">
        <v>44596</v>
      </c>
      <c r="D106">
        <v>32</v>
      </c>
      <c r="E106" t="s">
        <v>473</v>
      </c>
      <c r="F106">
        <v>105</v>
      </c>
      <c r="G106" t="s">
        <v>1207</v>
      </c>
      <c r="H106" t="s">
        <v>225</v>
      </c>
      <c r="I106" t="s">
        <v>1357</v>
      </c>
      <c r="J106" t="s">
        <v>479</v>
      </c>
      <c r="K106">
        <v>2</v>
      </c>
      <c r="L106">
        <v>2</v>
      </c>
      <c r="M106">
        <v>0</v>
      </c>
      <c r="N106">
        <v>0</v>
      </c>
      <c r="O106">
        <v>0</v>
      </c>
      <c r="P106" t="s">
        <v>69</v>
      </c>
      <c r="Q106">
        <v>2017</v>
      </c>
      <c r="R106" t="s">
        <v>134</v>
      </c>
      <c r="S106" t="s">
        <v>99</v>
      </c>
      <c r="T106">
        <v>100</v>
      </c>
      <c r="U106">
        <f>shark_tank__1[[#This Row],[Cleaned Yearly Revenue]]/12</f>
        <v>8.3333333333333339</v>
      </c>
      <c r="X106">
        <v>200</v>
      </c>
      <c r="Y106">
        <v>4</v>
      </c>
      <c r="Z106">
        <v>5000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53" x14ac:dyDescent="0.3">
      <c r="A107">
        <v>1</v>
      </c>
      <c r="B107" s="4">
        <v>44550</v>
      </c>
      <c r="C107" s="4">
        <v>44596</v>
      </c>
      <c r="D107">
        <v>32</v>
      </c>
      <c r="E107" t="s">
        <v>473</v>
      </c>
      <c r="F107">
        <v>106</v>
      </c>
      <c r="G107" t="s">
        <v>1208</v>
      </c>
      <c r="H107" t="s">
        <v>225</v>
      </c>
      <c r="I107" t="s">
        <v>481</v>
      </c>
      <c r="J107" t="s">
        <v>482</v>
      </c>
      <c r="K107">
        <v>2</v>
      </c>
      <c r="L107">
        <v>2</v>
      </c>
      <c r="M107">
        <v>0</v>
      </c>
      <c r="N107">
        <v>0</v>
      </c>
      <c r="O107">
        <v>0</v>
      </c>
      <c r="P107" t="s">
        <v>69</v>
      </c>
      <c r="Q107">
        <v>2016</v>
      </c>
      <c r="R107" t="s">
        <v>134</v>
      </c>
      <c r="S107" t="s">
        <v>99</v>
      </c>
      <c r="T107">
        <v>170</v>
      </c>
      <c r="U107">
        <f>shark_tank__1[[#This Row],[Cleaned Yearly Revenue]]/12</f>
        <v>14.166666666666666</v>
      </c>
      <c r="X107">
        <v>50</v>
      </c>
      <c r="Y107">
        <v>1</v>
      </c>
      <c r="Z107">
        <v>5000</v>
      </c>
      <c r="AA107">
        <v>1</v>
      </c>
      <c r="AB107">
        <v>1</v>
      </c>
      <c r="AC107">
        <v>50</v>
      </c>
      <c r="AD107">
        <v>2</v>
      </c>
      <c r="AE107">
        <v>0</v>
      </c>
      <c r="AF107">
        <v>0</v>
      </c>
      <c r="AG107">
        <v>2500</v>
      </c>
      <c r="AH107">
        <v>1</v>
      </c>
      <c r="AW107">
        <v>50</v>
      </c>
      <c r="AX107">
        <v>2</v>
      </c>
    </row>
    <row r="108" spans="1:53" x14ac:dyDescent="0.3">
      <c r="A108">
        <v>1</v>
      </c>
      <c r="B108" s="4">
        <v>44550</v>
      </c>
      <c r="C108" s="4">
        <v>44596</v>
      </c>
      <c r="D108">
        <v>32</v>
      </c>
      <c r="E108" t="s">
        <v>473</v>
      </c>
      <c r="F108">
        <v>107</v>
      </c>
      <c r="G108" t="s">
        <v>1209</v>
      </c>
      <c r="H108" t="s">
        <v>173</v>
      </c>
      <c r="I108" t="s">
        <v>1358</v>
      </c>
      <c r="J108" t="s">
        <v>485</v>
      </c>
      <c r="K108">
        <v>2</v>
      </c>
      <c r="L108">
        <v>1</v>
      </c>
      <c r="M108">
        <v>1</v>
      </c>
      <c r="N108">
        <v>0</v>
      </c>
      <c r="O108">
        <v>1</v>
      </c>
      <c r="P108" t="s">
        <v>69</v>
      </c>
      <c r="Q108">
        <v>2019</v>
      </c>
      <c r="R108" t="s">
        <v>76</v>
      </c>
      <c r="S108" t="s">
        <v>77</v>
      </c>
      <c r="U108">
        <f>shark_tank__1[[#This Row],[Cleaned Yearly Revenue]]/12</f>
        <v>0</v>
      </c>
      <c r="X108">
        <v>35</v>
      </c>
      <c r="Y108">
        <v>6</v>
      </c>
      <c r="Z108">
        <v>583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53" x14ac:dyDescent="0.3">
      <c r="A109">
        <v>1</v>
      </c>
      <c r="B109" s="4">
        <v>44550</v>
      </c>
      <c r="C109" s="4">
        <v>44596</v>
      </c>
      <c r="D109">
        <v>33</v>
      </c>
      <c r="E109" t="s">
        <v>486</v>
      </c>
      <c r="F109">
        <v>108</v>
      </c>
      <c r="G109" t="s">
        <v>1359</v>
      </c>
      <c r="H109" t="s">
        <v>79</v>
      </c>
      <c r="I109" t="s">
        <v>488</v>
      </c>
      <c r="J109" t="s">
        <v>489</v>
      </c>
      <c r="K109">
        <v>2</v>
      </c>
      <c r="L109">
        <v>1</v>
      </c>
      <c r="M109">
        <v>1</v>
      </c>
      <c r="N109">
        <v>0</v>
      </c>
      <c r="O109">
        <v>1</v>
      </c>
      <c r="P109" t="s">
        <v>69</v>
      </c>
      <c r="Q109">
        <v>2017</v>
      </c>
      <c r="R109" t="s">
        <v>134</v>
      </c>
      <c r="S109" t="s">
        <v>99</v>
      </c>
      <c r="T109">
        <v>7.9</v>
      </c>
      <c r="U109">
        <f>shark_tank__1[[#This Row],[Cleaned Yearly Revenue]]/12</f>
        <v>0.65833333333333333</v>
      </c>
      <c r="X109">
        <v>40</v>
      </c>
      <c r="Y109">
        <v>10</v>
      </c>
      <c r="Z109">
        <v>400</v>
      </c>
      <c r="AA109">
        <v>1</v>
      </c>
      <c r="AB109">
        <v>1</v>
      </c>
      <c r="AC109">
        <v>40</v>
      </c>
      <c r="AD109">
        <v>25</v>
      </c>
      <c r="AE109">
        <v>0</v>
      </c>
      <c r="AF109">
        <v>0</v>
      </c>
      <c r="AG109">
        <v>160</v>
      </c>
      <c r="AH109">
        <v>1</v>
      </c>
      <c r="AN109">
        <v>40</v>
      </c>
      <c r="AO109">
        <v>25</v>
      </c>
    </row>
    <row r="110" spans="1:53" x14ac:dyDescent="0.3">
      <c r="A110">
        <v>1</v>
      </c>
      <c r="B110" s="4">
        <v>44550</v>
      </c>
      <c r="C110" s="4">
        <v>44596</v>
      </c>
      <c r="D110">
        <v>33</v>
      </c>
      <c r="E110" t="s">
        <v>486</v>
      </c>
      <c r="F110">
        <v>109</v>
      </c>
      <c r="G110" t="s">
        <v>1360</v>
      </c>
      <c r="H110" t="s">
        <v>66</v>
      </c>
      <c r="I110" t="s">
        <v>491</v>
      </c>
      <c r="J110" t="s">
        <v>492</v>
      </c>
      <c r="K110">
        <v>2</v>
      </c>
      <c r="L110">
        <v>1</v>
      </c>
      <c r="M110">
        <v>1</v>
      </c>
      <c r="N110">
        <v>0</v>
      </c>
      <c r="O110">
        <v>1</v>
      </c>
      <c r="P110" t="s">
        <v>69</v>
      </c>
      <c r="Q110">
        <v>2018</v>
      </c>
      <c r="R110" t="s">
        <v>493</v>
      </c>
      <c r="S110" t="s">
        <v>99</v>
      </c>
      <c r="T110">
        <v>24</v>
      </c>
      <c r="U110">
        <f>shark_tank__1[[#This Row],[Cleaned Yearly Revenue]]/12</f>
        <v>2</v>
      </c>
      <c r="X110">
        <v>40</v>
      </c>
      <c r="Y110">
        <v>5</v>
      </c>
      <c r="Z110">
        <v>800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53" x14ac:dyDescent="0.3">
      <c r="A111">
        <v>1</v>
      </c>
      <c r="B111" s="4">
        <v>44550</v>
      </c>
      <c r="C111" s="4">
        <v>44596</v>
      </c>
      <c r="D111">
        <v>33</v>
      </c>
      <c r="E111" t="s">
        <v>486</v>
      </c>
      <c r="F111">
        <v>110</v>
      </c>
      <c r="G111" t="s">
        <v>1211</v>
      </c>
      <c r="H111" t="s">
        <v>448</v>
      </c>
      <c r="I111" t="s">
        <v>495</v>
      </c>
      <c r="J111" t="s">
        <v>496</v>
      </c>
      <c r="K111">
        <v>4</v>
      </c>
      <c r="L111">
        <v>4</v>
      </c>
      <c r="M111">
        <v>0</v>
      </c>
      <c r="N111">
        <v>0</v>
      </c>
      <c r="O111">
        <v>0</v>
      </c>
      <c r="P111" t="s">
        <v>69</v>
      </c>
      <c r="Q111">
        <v>2019</v>
      </c>
      <c r="R111" t="s">
        <v>70</v>
      </c>
      <c r="S111" t="s">
        <v>70</v>
      </c>
      <c r="U111">
        <f>shark_tank__1[[#This Row],[Cleaned Yearly Revenue]]/12</f>
        <v>0</v>
      </c>
      <c r="X111">
        <v>40</v>
      </c>
      <c r="Y111">
        <v>2</v>
      </c>
      <c r="Z111">
        <v>2000</v>
      </c>
      <c r="AA111">
        <v>1</v>
      </c>
      <c r="AB111">
        <v>1</v>
      </c>
      <c r="AC111">
        <v>60</v>
      </c>
      <c r="AD111">
        <v>10</v>
      </c>
      <c r="AE111">
        <v>0</v>
      </c>
      <c r="AF111">
        <v>0</v>
      </c>
      <c r="AG111">
        <v>600</v>
      </c>
      <c r="AH111">
        <v>3</v>
      </c>
      <c r="AK111">
        <v>20</v>
      </c>
      <c r="AL111">
        <v>3.33</v>
      </c>
      <c r="AQ111">
        <v>20</v>
      </c>
      <c r="AR111">
        <v>3.33</v>
      </c>
      <c r="AZ111">
        <v>20</v>
      </c>
      <c r="BA111">
        <v>3.33</v>
      </c>
    </row>
    <row r="112" spans="1:53" x14ac:dyDescent="0.3">
      <c r="A112">
        <v>1</v>
      </c>
      <c r="B112" s="4">
        <v>44550</v>
      </c>
      <c r="C112" s="4">
        <v>44596</v>
      </c>
      <c r="D112">
        <v>33</v>
      </c>
      <c r="E112" t="s">
        <v>486</v>
      </c>
      <c r="F112">
        <v>111</v>
      </c>
      <c r="G112" t="s">
        <v>497</v>
      </c>
      <c r="H112" t="s">
        <v>225</v>
      </c>
      <c r="I112" t="s">
        <v>498</v>
      </c>
      <c r="J112" t="s">
        <v>499</v>
      </c>
      <c r="K112">
        <v>2</v>
      </c>
      <c r="L112">
        <v>2</v>
      </c>
      <c r="M112">
        <v>0</v>
      </c>
      <c r="N112">
        <v>0</v>
      </c>
      <c r="O112">
        <v>0</v>
      </c>
      <c r="P112" t="s">
        <v>69</v>
      </c>
      <c r="Q112">
        <v>2020</v>
      </c>
      <c r="R112" t="s">
        <v>70</v>
      </c>
      <c r="S112" t="s">
        <v>70</v>
      </c>
      <c r="U112">
        <f>shark_tank__1[[#This Row],[Cleaned Yearly Revenue]]/12</f>
        <v>0</v>
      </c>
      <c r="X112">
        <v>35</v>
      </c>
      <c r="Y112">
        <v>1</v>
      </c>
      <c r="Z112">
        <v>3500</v>
      </c>
      <c r="AA112">
        <v>1</v>
      </c>
      <c r="AB112">
        <v>1</v>
      </c>
      <c r="AC112">
        <v>100</v>
      </c>
      <c r="AD112">
        <v>10</v>
      </c>
      <c r="AE112">
        <v>0</v>
      </c>
      <c r="AF112">
        <v>0</v>
      </c>
      <c r="AG112">
        <v>1000</v>
      </c>
      <c r="AH112">
        <v>2</v>
      </c>
      <c r="AK112">
        <v>50</v>
      </c>
      <c r="AL112">
        <v>5</v>
      </c>
      <c r="AZ112">
        <v>50</v>
      </c>
      <c r="BA112">
        <v>5</v>
      </c>
    </row>
    <row r="113" spans="1:56" x14ac:dyDescent="0.3">
      <c r="A113">
        <v>1</v>
      </c>
      <c r="B113" s="4">
        <v>44550</v>
      </c>
      <c r="C113" s="4">
        <v>44596</v>
      </c>
      <c r="D113">
        <v>34</v>
      </c>
      <c r="E113" t="s">
        <v>500</v>
      </c>
      <c r="F113">
        <v>112</v>
      </c>
      <c r="G113" t="s">
        <v>1212</v>
      </c>
      <c r="H113" t="s">
        <v>66</v>
      </c>
      <c r="I113" t="s">
        <v>502</v>
      </c>
      <c r="J113" t="s">
        <v>503</v>
      </c>
      <c r="K113">
        <v>2</v>
      </c>
      <c r="L113">
        <v>2</v>
      </c>
      <c r="M113">
        <v>0</v>
      </c>
      <c r="N113">
        <v>0</v>
      </c>
      <c r="O113">
        <v>0</v>
      </c>
      <c r="P113" t="s">
        <v>75</v>
      </c>
      <c r="Q113">
        <v>2019</v>
      </c>
      <c r="R113" t="s">
        <v>504</v>
      </c>
      <c r="S113" t="s">
        <v>505</v>
      </c>
      <c r="T113">
        <v>36</v>
      </c>
      <c r="U113">
        <f>shark_tank__1[[#This Row],[Cleaned Yearly Revenue]]/12</f>
        <v>3</v>
      </c>
      <c r="V113">
        <v>70</v>
      </c>
      <c r="X113">
        <v>40</v>
      </c>
      <c r="Y113">
        <v>10</v>
      </c>
      <c r="Z113">
        <v>400</v>
      </c>
      <c r="AA113">
        <v>1</v>
      </c>
      <c r="AB113">
        <v>1</v>
      </c>
      <c r="AC113">
        <v>40</v>
      </c>
      <c r="AD113">
        <v>20</v>
      </c>
      <c r="AE113">
        <v>0</v>
      </c>
      <c r="AF113">
        <v>0</v>
      </c>
      <c r="AG113">
        <v>200</v>
      </c>
      <c r="AH113">
        <v>4</v>
      </c>
      <c r="AK113">
        <v>10</v>
      </c>
      <c r="AL113">
        <v>5</v>
      </c>
      <c r="AN113">
        <v>10</v>
      </c>
      <c r="AO113">
        <v>5</v>
      </c>
      <c r="AT113">
        <v>10</v>
      </c>
      <c r="AU113">
        <v>5</v>
      </c>
      <c r="BC113">
        <v>10</v>
      </c>
      <c r="BD113">
        <v>5</v>
      </c>
    </row>
    <row r="114" spans="1:56" x14ac:dyDescent="0.3">
      <c r="A114">
        <v>1</v>
      </c>
      <c r="B114" s="4">
        <v>44550</v>
      </c>
      <c r="C114" s="4">
        <v>44596</v>
      </c>
      <c r="D114">
        <v>34</v>
      </c>
      <c r="E114" t="s">
        <v>500</v>
      </c>
      <c r="F114">
        <v>113</v>
      </c>
      <c r="G114" t="s">
        <v>1213</v>
      </c>
      <c r="H114" t="s">
        <v>79</v>
      </c>
      <c r="I114" t="s">
        <v>1361</v>
      </c>
      <c r="J114" t="s">
        <v>508</v>
      </c>
      <c r="K114">
        <v>1</v>
      </c>
      <c r="L114">
        <v>0</v>
      </c>
      <c r="M114">
        <v>1</v>
      </c>
      <c r="N114">
        <v>0</v>
      </c>
      <c r="O114">
        <v>0</v>
      </c>
      <c r="P114" t="s">
        <v>75</v>
      </c>
      <c r="Q114">
        <v>2017</v>
      </c>
      <c r="R114" t="s">
        <v>134</v>
      </c>
      <c r="S114" t="s">
        <v>99</v>
      </c>
      <c r="U114">
        <f>shark_tank__1[[#This Row],[Cleaned Yearly Revenue]]/12</f>
        <v>0</v>
      </c>
      <c r="X114">
        <v>30</v>
      </c>
      <c r="Y114">
        <v>7.5</v>
      </c>
      <c r="Z114">
        <v>400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56" x14ac:dyDescent="0.3">
      <c r="A115">
        <v>1</v>
      </c>
      <c r="B115" s="4">
        <v>44550</v>
      </c>
      <c r="C115" s="4">
        <v>44596</v>
      </c>
      <c r="D115">
        <v>34</v>
      </c>
      <c r="E115" t="s">
        <v>500</v>
      </c>
      <c r="F115">
        <v>114</v>
      </c>
      <c r="G115" t="s">
        <v>1214</v>
      </c>
      <c r="H115" t="s">
        <v>66</v>
      </c>
      <c r="I115" t="s">
        <v>510</v>
      </c>
      <c r="J115" t="s">
        <v>511</v>
      </c>
      <c r="K115">
        <v>2</v>
      </c>
      <c r="L115">
        <v>1</v>
      </c>
      <c r="M115">
        <v>1</v>
      </c>
      <c r="N115">
        <v>0</v>
      </c>
      <c r="O115">
        <v>1</v>
      </c>
      <c r="P115" t="s">
        <v>69</v>
      </c>
      <c r="Q115">
        <v>2019</v>
      </c>
      <c r="R115" t="s">
        <v>134</v>
      </c>
      <c r="S115" t="s">
        <v>99</v>
      </c>
      <c r="T115">
        <v>144</v>
      </c>
      <c r="U115">
        <f>shark_tank__1[[#This Row],[Cleaned Yearly Revenue]]/12</f>
        <v>12</v>
      </c>
      <c r="V115">
        <v>40</v>
      </c>
      <c r="X115">
        <v>60</v>
      </c>
      <c r="Y115">
        <v>2</v>
      </c>
      <c r="Z115">
        <v>3000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56" x14ac:dyDescent="0.3">
      <c r="A116">
        <v>1</v>
      </c>
      <c r="B116" s="4">
        <v>44550</v>
      </c>
      <c r="C116" s="4">
        <v>44596</v>
      </c>
      <c r="D116">
        <v>34</v>
      </c>
      <c r="E116" t="s">
        <v>500</v>
      </c>
      <c r="F116">
        <v>115</v>
      </c>
      <c r="G116" t="s">
        <v>1215</v>
      </c>
      <c r="H116" t="s">
        <v>66</v>
      </c>
      <c r="I116" t="s">
        <v>513</v>
      </c>
      <c r="J116" t="s">
        <v>514</v>
      </c>
      <c r="K116">
        <v>1</v>
      </c>
      <c r="L116">
        <v>1</v>
      </c>
      <c r="M116">
        <v>0</v>
      </c>
      <c r="N116">
        <v>0</v>
      </c>
      <c r="O116">
        <v>0</v>
      </c>
      <c r="P116" t="s">
        <v>69</v>
      </c>
      <c r="Q116" t="s">
        <v>1309</v>
      </c>
      <c r="R116" t="s">
        <v>76</v>
      </c>
      <c r="S116" t="s">
        <v>77</v>
      </c>
      <c r="T116">
        <v>0</v>
      </c>
      <c r="U116">
        <f>shark_tank__1[[#This Row],[Cleaned Yearly Revenue]]/12</f>
        <v>0</v>
      </c>
      <c r="X116">
        <v>100</v>
      </c>
      <c r="Y116">
        <v>1</v>
      </c>
      <c r="Z116">
        <v>10000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56" x14ac:dyDescent="0.3">
      <c r="A117">
        <v>1</v>
      </c>
      <c r="B117" s="4">
        <v>44550</v>
      </c>
      <c r="C117" s="4">
        <v>44596</v>
      </c>
      <c r="D117">
        <v>35</v>
      </c>
      <c r="E117" t="s">
        <v>515</v>
      </c>
      <c r="F117">
        <v>116</v>
      </c>
      <c r="G117" t="s">
        <v>1216</v>
      </c>
      <c r="H117" t="s">
        <v>66</v>
      </c>
      <c r="I117" t="s">
        <v>517</v>
      </c>
      <c r="J117" t="s">
        <v>518</v>
      </c>
      <c r="K117">
        <v>1</v>
      </c>
      <c r="L117">
        <v>1</v>
      </c>
      <c r="M117">
        <v>0</v>
      </c>
      <c r="N117">
        <v>0</v>
      </c>
      <c r="O117">
        <v>0</v>
      </c>
      <c r="P117" t="s">
        <v>69</v>
      </c>
      <c r="Q117">
        <v>2017</v>
      </c>
      <c r="R117" t="s">
        <v>519</v>
      </c>
      <c r="S117" t="s">
        <v>345</v>
      </c>
      <c r="T117">
        <v>24</v>
      </c>
      <c r="U117">
        <f>shark_tank__1[[#This Row],[Cleaned Yearly Revenue]]/12</f>
        <v>2</v>
      </c>
      <c r="X117">
        <v>40</v>
      </c>
      <c r="Y117">
        <v>8</v>
      </c>
      <c r="Z117">
        <v>500</v>
      </c>
      <c r="AA117">
        <v>1</v>
      </c>
      <c r="AB117">
        <v>1</v>
      </c>
      <c r="AC117">
        <v>40</v>
      </c>
      <c r="AD117">
        <v>30</v>
      </c>
      <c r="AE117">
        <v>0</v>
      </c>
      <c r="AF117">
        <v>0</v>
      </c>
      <c r="AG117">
        <v>133</v>
      </c>
      <c r="AH117">
        <v>4</v>
      </c>
      <c r="AK117">
        <v>10</v>
      </c>
      <c r="AL117">
        <v>7.5</v>
      </c>
      <c r="AQ117">
        <v>10</v>
      </c>
      <c r="AR117">
        <v>7.5</v>
      </c>
      <c r="AT117">
        <v>10</v>
      </c>
      <c r="AU117">
        <v>7.5</v>
      </c>
      <c r="AW117">
        <v>10</v>
      </c>
      <c r="AX117">
        <v>7.5</v>
      </c>
    </row>
    <row r="118" spans="1:56" x14ac:dyDescent="0.3">
      <c r="A118">
        <v>1</v>
      </c>
      <c r="B118" s="4">
        <v>44550</v>
      </c>
      <c r="C118" s="4">
        <v>44596</v>
      </c>
      <c r="D118">
        <v>35</v>
      </c>
      <c r="E118" t="s">
        <v>515</v>
      </c>
      <c r="F118">
        <v>117</v>
      </c>
      <c r="G118" t="s">
        <v>520</v>
      </c>
      <c r="H118" t="s">
        <v>225</v>
      </c>
      <c r="I118" t="s">
        <v>521</v>
      </c>
      <c r="J118" t="s">
        <v>522</v>
      </c>
      <c r="K118">
        <v>3</v>
      </c>
      <c r="L118">
        <v>1</v>
      </c>
      <c r="M118">
        <v>2</v>
      </c>
      <c r="N118">
        <v>0</v>
      </c>
      <c r="O118">
        <v>0</v>
      </c>
      <c r="P118" t="s">
        <v>69</v>
      </c>
      <c r="Q118">
        <v>2020</v>
      </c>
      <c r="R118" t="s">
        <v>134</v>
      </c>
      <c r="S118" t="s">
        <v>99</v>
      </c>
      <c r="T118">
        <v>108</v>
      </c>
      <c r="U118">
        <f>shark_tank__1[[#This Row],[Cleaned Yearly Revenue]]/12</f>
        <v>9</v>
      </c>
      <c r="X118">
        <v>50</v>
      </c>
      <c r="Y118">
        <v>4</v>
      </c>
      <c r="Z118">
        <v>1250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56" x14ac:dyDescent="0.3">
      <c r="A119">
        <v>1</v>
      </c>
      <c r="B119" s="4">
        <v>44550</v>
      </c>
      <c r="C119" s="4">
        <v>44596</v>
      </c>
      <c r="D119">
        <v>35</v>
      </c>
      <c r="E119" t="s">
        <v>515</v>
      </c>
      <c r="F119">
        <v>118</v>
      </c>
      <c r="G119" t="s">
        <v>1217</v>
      </c>
      <c r="H119" t="s">
        <v>173</v>
      </c>
      <c r="I119" t="s">
        <v>1362</v>
      </c>
      <c r="J119" t="s">
        <v>525</v>
      </c>
      <c r="K119">
        <v>3</v>
      </c>
      <c r="L119">
        <v>2</v>
      </c>
      <c r="M119">
        <v>1</v>
      </c>
      <c r="N119">
        <v>0</v>
      </c>
      <c r="O119">
        <v>0</v>
      </c>
      <c r="P119" t="s">
        <v>69</v>
      </c>
      <c r="Q119">
        <v>2021</v>
      </c>
      <c r="R119" t="s">
        <v>134</v>
      </c>
      <c r="S119" t="s">
        <v>99</v>
      </c>
      <c r="T119">
        <v>60</v>
      </c>
      <c r="U119">
        <f>shark_tank__1[[#This Row],[Cleaned Yearly Revenue]]/12</f>
        <v>5</v>
      </c>
      <c r="V119">
        <v>30</v>
      </c>
      <c r="X119">
        <v>100</v>
      </c>
      <c r="Y119">
        <v>2.5</v>
      </c>
      <c r="Z119">
        <v>4000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56" x14ac:dyDescent="0.3">
      <c r="A120">
        <v>1</v>
      </c>
      <c r="B120" s="4">
        <v>44550</v>
      </c>
      <c r="C120" s="4">
        <v>44596</v>
      </c>
      <c r="D120">
        <v>36</v>
      </c>
      <c r="E120" t="s">
        <v>526</v>
      </c>
      <c r="F120">
        <v>119</v>
      </c>
      <c r="G120" t="s">
        <v>1218</v>
      </c>
      <c r="H120" t="s">
        <v>79</v>
      </c>
      <c r="I120" t="s">
        <v>1363</v>
      </c>
      <c r="J120" t="s">
        <v>529</v>
      </c>
      <c r="K120">
        <v>1</v>
      </c>
      <c r="L120">
        <v>1</v>
      </c>
      <c r="M120">
        <v>0</v>
      </c>
      <c r="N120">
        <v>0</v>
      </c>
      <c r="O120">
        <v>0</v>
      </c>
      <c r="P120" t="s">
        <v>75</v>
      </c>
      <c r="Q120">
        <v>2020</v>
      </c>
      <c r="R120" t="s">
        <v>70</v>
      </c>
      <c r="S120" t="s">
        <v>70</v>
      </c>
      <c r="T120">
        <v>84</v>
      </c>
      <c r="U120">
        <f>shark_tank__1[[#This Row],[Cleaned Yearly Revenue]]/12</f>
        <v>7</v>
      </c>
      <c r="X120">
        <v>20</v>
      </c>
      <c r="Y120">
        <v>5</v>
      </c>
      <c r="Z120">
        <v>400</v>
      </c>
      <c r="AA120">
        <v>1</v>
      </c>
      <c r="AB120">
        <v>1</v>
      </c>
      <c r="AC120">
        <v>21</v>
      </c>
      <c r="AD120">
        <v>12</v>
      </c>
      <c r="AE120">
        <v>0</v>
      </c>
      <c r="AF120">
        <v>0</v>
      </c>
      <c r="AG120">
        <v>175</v>
      </c>
      <c r="AH120">
        <v>3</v>
      </c>
      <c r="AN120">
        <v>7</v>
      </c>
      <c r="AO120">
        <v>4</v>
      </c>
      <c r="AT120">
        <v>7</v>
      </c>
      <c r="AU120">
        <v>4</v>
      </c>
      <c r="AW120">
        <v>7</v>
      </c>
      <c r="AX120">
        <v>4</v>
      </c>
    </row>
    <row r="121" spans="1:56" x14ac:dyDescent="0.3">
      <c r="A121">
        <v>1</v>
      </c>
      <c r="B121" s="4">
        <v>44550</v>
      </c>
      <c r="C121" s="4">
        <v>44596</v>
      </c>
      <c r="D121">
        <v>36</v>
      </c>
      <c r="E121" t="s">
        <v>526</v>
      </c>
      <c r="F121">
        <v>120</v>
      </c>
      <c r="G121" t="s">
        <v>1219</v>
      </c>
      <c r="H121" t="s">
        <v>79</v>
      </c>
      <c r="I121" t="s">
        <v>531</v>
      </c>
      <c r="J121" t="s">
        <v>532</v>
      </c>
      <c r="K121">
        <v>2</v>
      </c>
      <c r="L121">
        <v>2</v>
      </c>
      <c r="M121">
        <v>0</v>
      </c>
      <c r="N121">
        <v>0</v>
      </c>
      <c r="O121">
        <v>0</v>
      </c>
      <c r="P121" t="s">
        <v>69</v>
      </c>
      <c r="Q121">
        <v>2017</v>
      </c>
      <c r="R121" t="s">
        <v>394</v>
      </c>
      <c r="S121" t="s">
        <v>77</v>
      </c>
      <c r="T121">
        <v>7200</v>
      </c>
      <c r="U121">
        <f>shark_tank__1[[#This Row],[Cleaned Yearly Revenue]]/12</f>
        <v>600</v>
      </c>
      <c r="V121">
        <v>70</v>
      </c>
      <c r="X121">
        <v>150</v>
      </c>
      <c r="Y121">
        <v>0.33</v>
      </c>
      <c r="Z121">
        <v>45455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56" x14ac:dyDescent="0.3">
      <c r="A122">
        <v>1</v>
      </c>
      <c r="B122" s="4">
        <v>44550</v>
      </c>
      <c r="C122" s="4">
        <v>44596</v>
      </c>
      <c r="D122">
        <v>36</v>
      </c>
      <c r="E122" t="s">
        <v>526</v>
      </c>
      <c r="F122">
        <v>121</v>
      </c>
      <c r="G122" t="s">
        <v>1220</v>
      </c>
      <c r="H122" t="s">
        <v>286</v>
      </c>
      <c r="I122" t="s">
        <v>1364</v>
      </c>
      <c r="J122" t="s">
        <v>535</v>
      </c>
      <c r="K122">
        <v>3</v>
      </c>
      <c r="L122">
        <v>2</v>
      </c>
      <c r="M122">
        <v>1</v>
      </c>
      <c r="N122">
        <v>0</v>
      </c>
      <c r="O122">
        <v>1</v>
      </c>
      <c r="P122" t="s">
        <v>69</v>
      </c>
      <c r="Q122">
        <v>2020</v>
      </c>
      <c r="R122" t="s">
        <v>417</v>
      </c>
      <c r="S122" t="s">
        <v>345</v>
      </c>
      <c r="T122">
        <v>100</v>
      </c>
      <c r="U122">
        <f>shark_tank__1[[#This Row],[Cleaned Yearly Revenue]]/12</f>
        <v>8.3333333333333339</v>
      </c>
      <c r="X122">
        <v>100</v>
      </c>
      <c r="Y122">
        <v>1.75</v>
      </c>
      <c r="Z122">
        <v>5714</v>
      </c>
      <c r="AA122">
        <v>1</v>
      </c>
      <c r="AB122">
        <v>1</v>
      </c>
      <c r="AC122">
        <v>50</v>
      </c>
      <c r="AD122">
        <v>4</v>
      </c>
      <c r="AE122">
        <v>50</v>
      </c>
      <c r="AF122">
        <v>0</v>
      </c>
      <c r="AG122">
        <v>1250</v>
      </c>
      <c r="AH122">
        <v>2</v>
      </c>
      <c r="AN122">
        <v>25</v>
      </c>
      <c r="AO122">
        <v>2</v>
      </c>
      <c r="AP122">
        <v>25</v>
      </c>
      <c r="AZ122">
        <v>25</v>
      </c>
      <c r="BA122">
        <v>2</v>
      </c>
      <c r="BB122">
        <v>25</v>
      </c>
    </row>
    <row r="123" spans="1:56" x14ac:dyDescent="0.3">
      <c r="A123">
        <v>1</v>
      </c>
      <c r="B123" s="4">
        <v>44550</v>
      </c>
      <c r="C123" s="4">
        <v>44596</v>
      </c>
      <c r="D123">
        <v>36</v>
      </c>
      <c r="E123" t="s">
        <v>526</v>
      </c>
      <c r="F123">
        <v>122</v>
      </c>
      <c r="G123" t="s">
        <v>536</v>
      </c>
      <c r="H123" t="s">
        <v>225</v>
      </c>
      <c r="I123" t="s">
        <v>1365</v>
      </c>
      <c r="J123" t="s">
        <v>538</v>
      </c>
      <c r="K123">
        <v>2</v>
      </c>
      <c r="L123">
        <v>2</v>
      </c>
      <c r="M123">
        <v>0</v>
      </c>
      <c r="N123">
        <v>0</v>
      </c>
      <c r="O123">
        <v>0</v>
      </c>
      <c r="P123" t="s">
        <v>69</v>
      </c>
      <c r="Q123">
        <v>2020</v>
      </c>
      <c r="R123" t="s">
        <v>70</v>
      </c>
      <c r="S123" t="s">
        <v>70</v>
      </c>
      <c r="T123">
        <v>500</v>
      </c>
      <c r="U123">
        <f>shark_tank__1[[#This Row],[Cleaned Yearly Revenue]]/12</f>
        <v>41.666666666666664</v>
      </c>
      <c r="X123">
        <v>100</v>
      </c>
      <c r="Y123">
        <v>1</v>
      </c>
      <c r="Z123">
        <v>10000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 spans="1:56" x14ac:dyDescent="0.3">
      <c r="A124">
        <v>2</v>
      </c>
      <c r="B124" s="4">
        <v>44928</v>
      </c>
      <c r="C124" s="4">
        <v>44995</v>
      </c>
      <c r="D124">
        <v>1</v>
      </c>
      <c r="E124" t="s">
        <v>539</v>
      </c>
      <c r="F124">
        <v>153</v>
      </c>
      <c r="G124" t="s">
        <v>540</v>
      </c>
      <c r="H124" t="s">
        <v>286</v>
      </c>
      <c r="I124" t="s">
        <v>1366</v>
      </c>
      <c r="J124" t="s">
        <v>542</v>
      </c>
      <c r="K124">
        <v>2</v>
      </c>
      <c r="L124">
        <v>0</v>
      </c>
      <c r="M124">
        <v>2</v>
      </c>
      <c r="N124">
        <v>0</v>
      </c>
      <c r="O124">
        <v>0</v>
      </c>
      <c r="P124" t="s">
        <v>75</v>
      </c>
      <c r="Q124" t="s">
        <v>1309</v>
      </c>
      <c r="R124" t="s">
        <v>543</v>
      </c>
      <c r="S124" t="s">
        <v>87</v>
      </c>
      <c r="T124">
        <v>780</v>
      </c>
      <c r="U124">
        <f>shark_tank__1[[#This Row],[Cleaned Yearly Revenue]]/12</f>
        <v>65</v>
      </c>
      <c r="X124">
        <v>80</v>
      </c>
      <c r="Y124">
        <v>1</v>
      </c>
      <c r="Z124">
        <v>8000</v>
      </c>
      <c r="AA124">
        <v>1</v>
      </c>
      <c r="AB124">
        <v>1</v>
      </c>
      <c r="AC124">
        <v>100</v>
      </c>
      <c r="AD124">
        <v>2</v>
      </c>
      <c r="AE124">
        <v>0</v>
      </c>
      <c r="AF124">
        <v>0</v>
      </c>
      <c r="AG124">
        <v>5000</v>
      </c>
      <c r="AH124">
        <v>2</v>
      </c>
      <c r="AW124">
        <v>50</v>
      </c>
      <c r="AX124">
        <v>1</v>
      </c>
      <c r="AZ124">
        <v>50</v>
      </c>
      <c r="BA124">
        <v>1</v>
      </c>
    </row>
    <row r="125" spans="1:56" x14ac:dyDescent="0.3">
      <c r="A125">
        <v>2</v>
      </c>
      <c r="B125" s="4">
        <v>44928</v>
      </c>
      <c r="C125" s="4">
        <v>44995</v>
      </c>
      <c r="D125">
        <v>1</v>
      </c>
      <c r="E125" t="s">
        <v>539</v>
      </c>
      <c r="F125">
        <v>154</v>
      </c>
      <c r="G125" t="s">
        <v>544</v>
      </c>
      <c r="H125" t="s">
        <v>66</v>
      </c>
      <c r="I125" t="s">
        <v>1367</v>
      </c>
      <c r="J125" t="s">
        <v>546</v>
      </c>
      <c r="K125">
        <v>2</v>
      </c>
      <c r="L125">
        <v>2</v>
      </c>
      <c r="M125">
        <v>0</v>
      </c>
      <c r="N125">
        <v>0</v>
      </c>
      <c r="O125">
        <v>0</v>
      </c>
      <c r="P125" t="s">
        <v>75</v>
      </c>
      <c r="Q125" t="s">
        <v>1309</v>
      </c>
      <c r="R125" t="s">
        <v>547</v>
      </c>
      <c r="S125" t="s">
        <v>186</v>
      </c>
      <c r="T125">
        <v>132</v>
      </c>
      <c r="U125">
        <f>shark_tank__1[[#This Row],[Cleaned Yearly Revenue]]/12</f>
        <v>11</v>
      </c>
      <c r="X125">
        <v>30</v>
      </c>
      <c r="Y125">
        <v>5</v>
      </c>
      <c r="Z125">
        <v>600</v>
      </c>
      <c r="AA125">
        <v>1</v>
      </c>
      <c r="AB125">
        <v>1</v>
      </c>
      <c r="AC125">
        <v>30</v>
      </c>
      <c r="AD125">
        <v>15</v>
      </c>
      <c r="AE125">
        <v>0</v>
      </c>
      <c r="AF125">
        <v>0</v>
      </c>
      <c r="AG125">
        <v>200</v>
      </c>
      <c r="AH125">
        <v>3</v>
      </c>
      <c r="AQ125">
        <v>10</v>
      </c>
      <c r="AR125">
        <v>5</v>
      </c>
      <c r="AT125">
        <v>10</v>
      </c>
      <c r="AU125">
        <v>5</v>
      </c>
      <c r="AZ125">
        <v>10</v>
      </c>
      <c r="BA125">
        <v>5</v>
      </c>
    </row>
    <row r="126" spans="1:56" x14ac:dyDescent="0.3">
      <c r="A126">
        <v>2</v>
      </c>
      <c r="B126" s="4">
        <v>44928</v>
      </c>
      <c r="C126" s="4">
        <v>44995</v>
      </c>
      <c r="D126">
        <v>1</v>
      </c>
      <c r="E126" t="s">
        <v>539</v>
      </c>
      <c r="F126">
        <v>155</v>
      </c>
      <c r="G126" t="s">
        <v>548</v>
      </c>
      <c r="H126" t="s">
        <v>79</v>
      </c>
      <c r="I126" t="s">
        <v>1368</v>
      </c>
      <c r="J126" t="s">
        <v>550</v>
      </c>
      <c r="K126">
        <v>2</v>
      </c>
      <c r="L126">
        <v>2</v>
      </c>
      <c r="M126">
        <v>0</v>
      </c>
      <c r="N126">
        <v>0</v>
      </c>
      <c r="O126">
        <v>0</v>
      </c>
      <c r="P126" t="s">
        <v>69</v>
      </c>
      <c r="Q126" t="s">
        <v>1309</v>
      </c>
      <c r="R126" t="s">
        <v>281</v>
      </c>
      <c r="S126" t="s">
        <v>93</v>
      </c>
      <c r="U126">
        <f>shark_tank__1[[#This Row],[Cleaned Yearly Revenue]]/12</f>
        <v>0</v>
      </c>
      <c r="X126">
        <v>100</v>
      </c>
      <c r="Y126">
        <v>1</v>
      </c>
      <c r="Z126">
        <v>10000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56" x14ac:dyDescent="0.3">
      <c r="A127">
        <v>2</v>
      </c>
      <c r="B127" s="4">
        <v>44928</v>
      </c>
      <c r="C127" s="4">
        <v>44995</v>
      </c>
      <c r="D127">
        <v>2</v>
      </c>
      <c r="E127" t="s">
        <v>551</v>
      </c>
      <c r="F127">
        <v>156</v>
      </c>
      <c r="G127" t="s">
        <v>1221</v>
      </c>
      <c r="H127" t="s">
        <v>79</v>
      </c>
      <c r="I127" t="s">
        <v>553</v>
      </c>
      <c r="J127" t="s">
        <v>554</v>
      </c>
      <c r="K127">
        <v>2</v>
      </c>
      <c r="L127">
        <v>1</v>
      </c>
      <c r="M127">
        <v>1</v>
      </c>
      <c r="N127">
        <v>0</v>
      </c>
      <c r="O127">
        <v>1</v>
      </c>
      <c r="P127" t="s">
        <v>69</v>
      </c>
      <c r="Q127">
        <v>2018</v>
      </c>
      <c r="R127" t="s">
        <v>165</v>
      </c>
      <c r="S127" t="s">
        <v>99</v>
      </c>
      <c r="T127">
        <v>150</v>
      </c>
      <c r="U127">
        <f>shark_tank__1[[#This Row],[Cleaned Yearly Revenue]]/12</f>
        <v>12.5</v>
      </c>
      <c r="V127">
        <v>35</v>
      </c>
      <c r="X127">
        <v>50</v>
      </c>
      <c r="Y127">
        <v>3</v>
      </c>
      <c r="Z127">
        <v>1667</v>
      </c>
      <c r="AA127">
        <v>1</v>
      </c>
      <c r="AB127">
        <v>1</v>
      </c>
      <c r="AC127">
        <v>50</v>
      </c>
      <c r="AD127">
        <v>10</v>
      </c>
      <c r="AE127">
        <v>0</v>
      </c>
      <c r="AF127">
        <v>0</v>
      </c>
      <c r="AG127">
        <v>500</v>
      </c>
      <c r="AH127">
        <v>2</v>
      </c>
      <c r="AN127">
        <v>25</v>
      </c>
      <c r="AO127">
        <v>5</v>
      </c>
      <c r="AW127">
        <v>25</v>
      </c>
      <c r="AX127">
        <v>5</v>
      </c>
    </row>
    <row r="128" spans="1:56" x14ac:dyDescent="0.3">
      <c r="A128">
        <v>2</v>
      </c>
      <c r="B128" s="4">
        <v>44928</v>
      </c>
      <c r="C128" s="4">
        <v>44995</v>
      </c>
      <c r="D128">
        <v>2</v>
      </c>
      <c r="E128" t="s">
        <v>551</v>
      </c>
      <c r="F128">
        <v>157</v>
      </c>
      <c r="G128" t="s">
        <v>1222</v>
      </c>
      <c r="H128" t="s">
        <v>253</v>
      </c>
      <c r="I128" t="s">
        <v>1369</v>
      </c>
      <c r="J128" t="s">
        <v>557</v>
      </c>
      <c r="K128">
        <v>2</v>
      </c>
      <c r="L128">
        <v>2</v>
      </c>
      <c r="M128">
        <v>0</v>
      </c>
      <c r="N128">
        <v>0</v>
      </c>
      <c r="O128">
        <v>0</v>
      </c>
      <c r="P128" t="s">
        <v>75</v>
      </c>
      <c r="Q128">
        <v>2021</v>
      </c>
      <c r="R128" t="s">
        <v>493</v>
      </c>
      <c r="S128" t="s">
        <v>99</v>
      </c>
      <c r="T128">
        <v>300</v>
      </c>
      <c r="U128">
        <f>shark_tank__1[[#This Row],[Cleaned Yearly Revenue]]/12</f>
        <v>25</v>
      </c>
      <c r="X128">
        <v>200</v>
      </c>
      <c r="Y128">
        <v>5</v>
      </c>
      <c r="Z128">
        <v>4000</v>
      </c>
      <c r="AA128">
        <v>1</v>
      </c>
      <c r="AB128">
        <v>1</v>
      </c>
      <c r="AC128">
        <v>100</v>
      </c>
      <c r="AD128">
        <v>10</v>
      </c>
      <c r="AE128">
        <v>100</v>
      </c>
      <c r="AF128">
        <v>0</v>
      </c>
      <c r="AG128">
        <v>1000</v>
      </c>
      <c r="AH128">
        <v>2</v>
      </c>
      <c r="AQ128">
        <v>50</v>
      </c>
      <c r="AR128">
        <v>5</v>
      </c>
      <c r="AS128">
        <v>50</v>
      </c>
      <c r="AT128">
        <v>50</v>
      </c>
      <c r="AU128">
        <v>5</v>
      </c>
      <c r="AV128">
        <v>50</v>
      </c>
    </row>
    <row r="129" spans="1:54" x14ac:dyDescent="0.3">
      <c r="A129">
        <v>2</v>
      </c>
      <c r="B129" s="4">
        <v>44928</v>
      </c>
      <c r="C129" s="4">
        <v>44995</v>
      </c>
      <c r="D129">
        <v>2</v>
      </c>
      <c r="E129" t="s">
        <v>551</v>
      </c>
      <c r="F129">
        <v>158</v>
      </c>
      <c r="G129" t="s">
        <v>1223</v>
      </c>
      <c r="H129" t="s">
        <v>66</v>
      </c>
      <c r="I129" t="s">
        <v>1370</v>
      </c>
      <c r="J129" t="s">
        <v>560</v>
      </c>
      <c r="K129">
        <v>2</v>
      </c>
      <c r="L129">
        <v>2</v>
      </c>
      <c r="M129">
        <v>0</v>
      </c>
      <c r="N129">
        <v>0</v>
      </c>
      <c r="O129">
        <v>0</v>
      </c>
      <c r="P129" t="s">
        <v>75</v>
      </c>
      <c r="Q129" t="s">
        <v>1309</v>
      </c>
      <c r="R129" t="s">
        <v>70</v>
      </c>
      <c r="S129" t="s">
        <v>70</v>
      </c>
      <c r="T129">
        <v>-1</v>
      </c>
      <c r="U129">
        <f>shark_tank__1[[#This Row],[Cleaned Yearly Revenue]]/12</f>
        <v>-8.3333333333333329E-2</v>
      </c>
      <c r="V129">
        <v>45</v>
      </c>
      <c r="X129">
        <v>75</v>
      </c>
      <c r="Y129">
        <v>6</v>
      </c>
      <c r="Z129">
        <v>1250</v>
      </c>
      <c r="AA129">
        <v>1</v>
      </c>
      <c r="AB129">
        <v>1</v>
      </c>
      <c r="AC129">
        <v>50</v>
      </c>
      <c r="AD129">
        <v>18</v>
      </c>
      <c r="AE129">
        <v>25</v>
      </c>
      <c r="AF129">
        <v>0</v>
      </c>
      <c r="AG129">
        <v>277.77777780000002</v>
      </c>
      <c r="AH129">
        <v>1</v>
      </c>
      <c r="AT129">
        <v>50</v>
      </c>
      <c r="AU129">
        <v>18</v>
      </c>
      <c r="AV129">
        <v>25</v>
      </c>
    </row>
    <row r="130" spans="1:54" x14ac:dyDescent="0.3">
      <c r="A130">
        <v>2</v>
      </c>
      <c r="B130" s="4">
        <v>44928</v>
      </c>
      <c r="C130" s="4">
        <v>44995</v>
      </c>
      <c r="D130">
        <v>3</v>
      </c>
      <c r="E130" t="s">
        <v>561</v>
      </c>
      <c r="F130">
        <v>159</v>
      </c>
      <c r="G130" t="s">
        <v>1371</v>
      </c>
      <c r="H130" t="s">
        <v>66</v>
      </c>
      <c r="I130" t="s">
        <v>1372</v>
      </c>
      <c r="J130" t="s">
        <v>564</v>
      </c>
      <c r="K130">
        <v>2</v>
      </c>
      <c r="L130">
        <v>0</v>
      </c>
      <c r="M130">
        <v>2</v>
      </c>
      <c r="N130">
        <v>0</v>
      </c>
      <c r="O130">
        <v>0</v>
      </c>
      <c r="P130" t="s">
        <v>75</v>
      </c>
      <c r="Q130" t="s">
        <v>1309</v>
      </c>
      <c r="R130" t="s">
        <v>70</v>
      </c>
      <c r="S130" t="s">
        <v>70</v>
      </c>
      <c r="U130">
        <f>shark_tank__1[[#This Row],[Cleaned Yearly Revenue]]/12</f>
        <v>0</v>
      </c>
      <c r="X130">
        <v>75</v>
      </c>
      <c r="Y130">
        <v>3</v>
      </c>
      <c r="Z130">
        <v>2500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54" x14ac:dyDescent="0.3">
      <c r="A131">
        <v>2</v>
      </c>
      <c r="B131" s="4">
        <v>44928</v>
      </c>
      <c r="C131" s="4">
        <v>44995</v>
      </c>
      <c r="D131">
        <v>3</v>
      </c>
      <c r="E131" t="s">
        <v>561</v>
      </c>
      <c r="F131">
        <v>160</v>
      </c>
      <c r="G131" t="s">
        <v>565</v>
      </c>
      <c r="H131" t="s">
        <v>566</v>
      </c>
      <c r="I131" t="s">
        <v>1373</v>
      </c>
      <c r="J131" t="s">
        <v>568</v>
      </c>
      <c r="K131">
        <v>3</v>
      </c>
      <c r="L131">
        <v>3</v>
      </c>
      <c r="M131">
        <v>0</v>
      </c>
      <c r="N131">
        <v>0</v>
      </c>
      <c r="O131">
        <v>0</v>
      </c>
      <c r="P131" t="s">
        <v>75</v>
      </c>
      <c r="Q131" t="s">
        <v>1309</v>
      </c>
      <c r="R131" t="s">
        <v>569</v>
      </c>
      <c r="S131" t="s">
        <v>570</v>
      </c>
      <c r="U131">
        <f>shark_tank__1[[#This Row],[Cleaned Yearly Revenue]]/12</f>
        <v>0</v>
      </c>
      <c r="X131">
        <v>300</v>
      </c>
      <c r="Y131">
        <v>1</v>
      </c>
      <c r="Z131">
        <v>30000</v>
      </c>
      <c r="AA131">
        <v>1</v>
      </c>
      <c r="AB131">
        <v>1</v>
      </c>
      <c r="AC131">
        <v>150</v>
      </c>
      <c r="AD131">
        <v>0.6</v>
      </c>
      <c r="AE131">
        <v>150</v>
      </c>
      <c r="AF131">
        <v>0</v>
      </c>
      <c r="AG131">
        <v>25000</v>
      </c>
      <c r="AH131">
        <v>3</v>
      </c>
      <c r="AN131">
        <v>50</v>
      </c>
      <c r="AO131">
        <v>0.2</v>
      </c>
      <c r="AP131">
        <v>50</v>
      </c>
      <c r="AW131">
        <v>50</v>
      </c>
      <c r="AX131">
        <v>0.2</v>
      </c>
      <c r="AY131">
        <v>50</v>
      </c>
      <c r="AZ131">
        <v>50</v>
      </c>
      <c r="BA131">
        <v>0.2</v>
      </c>
      <c r="BB131">
        <v>50</v>
      </c>
    </row>
    <row r="132" spans="1:54" x14ac:dyDescent="0.3">
      <c r="A132">
        <v>2</v>
      </c>
      <c r="B132" s="4">
        <v>44928</v>
      </c>
      <c r="C132" s="4">
        <v>44995</v>
      </c>
      <c r="D132">
        <v>3</v>
      </c>
      <c r="E132" t="s">
        <v>561</v>
      </c>
      <c r="F132">
        <v>161</v>
      </c>
      <c r="G132" t="s">
        <v>571</v>
      </c>
      <c r="H132" t="s">
        <v>79</v>
      </c>
      <c r="I132" t="s">
        <v>1374</v>
      </c>
      <c r="J132" t="s">
        <v>573</v>
      </c>
      <c r="K132">
        <v>2</v>
      </c>
      <c r="L132">
        <v>1</v>
      </c>
      <c r="M132">
        <v>1</v>
      </c>
      <c r="N132">
        <v>0</v>
      </c>
      <c r="O132">
        <v>1</v>
      </c>
      <c r="P132" t="s">
        <v>75</v>
      </c>
      <c r="Q132" t="s">
        <v>1309</v>
      </c>
      <c r="R132" t="s">
        <v>134</v>
      </c>
      <c r="S132" t="s">
        <v>99</v>
      </c>
      <c r="U132">
        <f>shark_tank__1[[#This Row],[Cleaned Yearly Revenue]]/12</f>
        <v>0</v>
      </c>
      <c r="X132">
        <v>20</v>
      </c>
      <c r="Y132">
        <v>10</v>
      </c>
      <c r="Z132">
        <v>200</v>
      </c>
      <c r="AA132">
        <v>1</v>
      </c>
      <c r="AB132">
        <v>1</v>
      </c>
      <c r="AC132">
        <v>20</v>
      </c>
      <c r="AD132">
        <v>20</v>
      </c>
      <c r="AE132">
        <v>0</v>
      </c>
      <c r="AF132">
        <v>0</v>
      </c>
      <c r="AG132">
        <v>100</v>
      </c>
      <c r="AH132">
        <v>1</v>
      </c>
      <c r="AN132">
        <v>20</v>
      </c>
      <c r="AO132">
        <v>20</v>
      </c>
    </row>
    <row r="133" spans="1:54" x14ac:dyDescent="0.3">
      <c r="A133">
        <v>2</v>
      </c>
      <c r="B133" s="4">
        <v>44928</v>
      </c>
      <c r="C133" s="4">
        <v>44995</v>
      </c>
      <c r="D133">
        <v>4</v>
      </c>
      <c r="E133" t="s">
        <v>574</v>
      </c>
      <c r="F133">
        <v>162</v>
      </c>
      <c r="G133" t="s">
        <v>1224</v>
      </c>
      <c r="H133" t="s">
        <v>72</v>
      </c>
      <c r="I133" t="s">
        <v>1375</v>
      </c>
      <c r="J133" t="s">
        <v>577</v>
      </c>
      <c r="K133">
        <v>2</v>
      </c>
      <c r="L133">
        <v>2</v>
      </c>
      <c r="M133">
        <v>0</v>
      </c>
      <c r="N133">
        <v>0</v>
      </c>
      <c r="O133">
        <v>0</v>
      </c>
      <c r="P133" t="s">
        <v>75</v>
      </c>
      <c r="Q133" t="s">
        <v>1309</v>
      </c>
      <c r="R133" t="s">
        <v>143</v>
      </c>
      <c r="S133" t="s">
        <v>144</v>
      </c>
      <c r="U133">
        <f>shark_tank__1[[#This Row],[Cleaned Yearly Revenue]]/12</f>
        <v>0</v>
      </c>
      <c r="X133">
        <v>75</v>
      </c>
      <c r="Y133">
        <v>2</v>
      </c>
      <c r="Z133">
        <v>3750</v>
      </c>
      <c r="AA133">
        <v>1</v>
      </c>
      <c r="AB133">
        <v>1</v>
      </c>
      <c r="AC133">
        <v>100</v>
      </c>
      <c r="AD133">
        <v>6.67</v>
      </c>
      <c r="AE133">
        <v>0</v>
      </c>
      <c r="AF133">
        <v>0</v>
      </c>
      <c r="AG133">
        <v>1499.2503750000001</v>
      </c>
      <c r="AH133">
        <v>2</v>
      </c>
      <c r="AW133">
        <v>50</v>
      </c>
      <c r="AX133">
        <v>3.335</v>
      </c>
      <c r="AZ133">
        <v>50</v>
      </c>
      <c r="BA133">
        <v>3.335</v>
      </c>
    </row>
    <row r="134" spans="1:54" x14ac:dyDescent="0.3">
      <c r="A134">
        <v>2</v>
      </c>
      <c r="B134" s="4">
        <v>44928</v>
      </c>
      <c r="C134" s="4">
        <v>44995</v>
      </c>
      <c r="D134">
        <v>4</v>
      </c>
      <c r="E134" t="s">
        <v>574</v>
      </c>
      <c r="F134">
        <v>163</v>
      </c>
      <c r="G134" t="s">
        <v>1225</v>
      </c>
      <c r="H134" t="s">
        <v>66</v>
      </c>
      <c r="I134" t="s">
        <v>1376</v>
      </c>
      <c r="J134" t="s">
        <v>580</v>
      </c>
      <c r="K134">
        <v>3</v>
      </c>
      <c r="L134">
        <v>2</v>
      </c>
      <c r="M134">
        <v>1</v>
      </c>
      <c r="N134">
        <v>0</v>
      </c>
      <c r="O134">
        <v>0</v>
      </c>
      <c r="P134" t="s">
        <v>75</v>
      </c>
      <c r="Q134">
        <v>2020</v>
      </c>
      <c r="R134" t="s">
        <v>134</v>
      </c>
      <c r="S134" t="s">
        <v>99</v>
      </c>
      <c r="U134">
        <f>shark_tank__1[[#This Row],[Cleaned Yearly Revenue]]/12</f>
        <v>0</v>
      </c>
      <c r="X134">
        <v>40</v>
      </c>
      <c r="Y134">
        <v>2.5</v>
      </c>
      <c r="Z134">
        <v>1600</v>
      </c>
      <c r="AA134">
        <v>1</v>
      </c>
      <c r="AB134">
        <v>1</v>
      </c>
      <c r="AC134">
        <v>40</v>
      </c>
      <c r="AD134">
        <v>4</v>
      </c>
      <c r="AE134">
        <v>0</v>
      </c>
      <c r="AF134">
        <v>0</v>
      </c>
      <c r="AG134">
        <v>1000</v>
      </c>
      <c r="AH134">
        <v>2</v>
      </c>
      <c r="AQ134">
        <v>20</v>
      </c>
      <c r="AR134">
        <v>2</v>
      </c>
      <c r="AZ134">
        <v>20</v>
      </c>
      <c r="BA134">
        <v>2</v>
      </c>
    </row>
    <row r="135" spans="1:54" x14ac:dyDescent="0.3">
      <c r="A135">
        <v>2</v>
      </c>
      <c r="B135" s="4">
        <v>44928</v>
      </c>
      <c r="C135" s="4">
        <v>44995</v>
      </c>
      <c r="D135">
        <v>4</v>
      </c>
      <c r="E135" t="s">
        <v>574</v>
      </c>
      <c r="F135">
        <v>164</v>
      </c>
      <c r="G135" t="s">
        <v>581</v>
      </c>
      <c r="H135" t="s">
        <v>182</v>
      </c>
      <c r="I135" t="s">
        <v>582</v>
      </c>
      <c r="J135" t="s">
        <v>583</v>
      </c>
      <c r="K135">
        <v>2</v>
      </c>
      <c r="L135">
        <v>1</v>
      </c>
      <c r="M135">
        <v>1</v>
      </c>
      <c r="N135">
        <v>0</v>
      </c>
      <c r="O135">
        <v>1</v>
      </c>
      <c r="P135" t="s">
        <v>69</v>
      </c>
      <c r="Q135" t="s">
        <v>1309</v>
      </c>
      <c r="R135" t="s">
        <v>134</v>
      </c>
      <c r="S135" t="s">
        <v>99</v>
      </c>
      <c r="T135">
        <v>144</v>
      </c>
      <c r="U135">
        <f>shark_tank__1[[#This Row],[Cleaned Yearly Revenue]]/12</f>
        <v>12</v>
      </c>
      <c r="V135">
        <v>60</v>
      </c>
      <c r="X135">
        <v>70</v>
      </c>
      <c r="Y135">
        <v>5</v>
      </c>
      <c r="Z135">
        <v>1400</v>
      </c>
      <c r="AA135">
        <v>1</v>
      </c>
      <c r="AB135">
        <v>1</v>
      </c>
      <c r="AC135">
        <v>35</v>
      </c>
      <c r="AD135">
        <v>5</v>
      </c>
      <c r="AE135">
        <v>35</v>
      </c>
      <c r="AF135">
        <v>0</v>
      </c>
      <c r="AG135">
        <v>700</v>
      </c>
      <c r="AH135">
        <v>1</v>
      </c>
      <c r="AN135">
        <v>35</v>
      </c>
      <c r="AO135">
        <v>5</v>
      </c>
      <c r="AP135">
        <v>35</v>
      </c>
    </row>
    <row r="136" spans="1:54" x14ac:dyDescent="0.3">
      <c r="A136">
        <v>2</v>
      </c>
      <c r="B136" s="4">
        <v>44928</v>
      </c>
      <c r="C136" s="4">
        <v>44995</v>
      </c>
      <c r="D136">
        <v>5</v>
      </c>
      <c r="E136" t="s">
        <v>584</v>
      </c>
      <c r="F136">
        <v>165</v>
      </c>
      <c r="G136" t="s">
        <v>585</v>
      </c>
      <c r="H136" t="s">
        <v>79</v>
      </c>
      <c r="I136" t="s">
        <v>1377</v>
      </c>
      <c r="J136" t="s">
        <v>587</v>
      </c>
      <c r="K136">
        <v>2</v>
      </c>
      <c r="L136">
        <v>1</v>
      </c>
      <c r="M136">
        <v>1</v>
      </c>
      <c r="N136">
        <v>0</v>
      </c>
      <c r="O136">
        <v>1</v>
      </c>
      <c r="P136" t="s">
        <v>69</v>
      </c>
      <c r="Q136" t="s">
        <v>1309</v>
      </c>
      <c r="R136" t="s">
        <v>588</v>
      </c>
      <c r="S136" t="s">
        <v>156</v>
      </c>
      <c r="T136">
        <v>552</v>
      </c>
      <c r="U136">
        <f>shark_tank__1[[#This Row],[Cleaned Yearly Revenue]]/12</f>
        <v>46</v>
      </c>
      <c r="X136">
        <v>100</v>
      </c>
      <c r="Y136">
        <v>4</v>
      </c>
      <c r="Z136">
        <v>2500</v>
      </c>
      <c r="AA136">
        <v>1</v>
      </c>
      <c r="AB136">
        <v>1</v>
      </c>
      <c r="AC136">
        <v>100</v>
      </c>
      <c r="AD136">
        <v>10</v>
      </c>
      <c r="AE136">
        <v>0</v>
      </c>
      <c r="AF136">
        <v>0</v>
      </c>
      <c r="AG136">
        <v>1000</v>
      </c>
      <c r="AH136">
        <v>2</v>
      </c>
      <c r="AQ136">
        <v>50</v>
      </c>
      <c r="AR136">
        <v>5</v>
      </c>
      <c r="AT136">
        <v>50</v>
      </c>
      <c r="AU136">
        <v>5</v>
      </c>
    </row>
    <row r="137" spans="1:54" x14ac:dyDescent="0.3">
      <c r="A137">
        <v>2</v>
      </c>
      <c r="B137" s="4">
        <v>44928</v>
      </c>
      <c r="C137" s="4">
        <v>44995</v>
      </c>
      <c r="D137">
        <v>5</v>
      </c>
      <c r="E137" t="s">
        <v>584</v>
      </c>
      <c r="F137">
        <v>166</v>
      </c>
      <c r="G137" t="s">
        <v>589</v>
      </c>
      <c r="H137" t="s">
        <v>79</v>
      </c>
      <c r="I137" t="s">
        <v>590</v>
      </c>
      <c r="J137" t="s">
        <v>591</v>
      </c>
      <c r="K137">
        <v>1</v>
      </c>
      <c r="L137">
        <v>1</v>
      </c>
      <c r="M137">
        <v>0</v>
      </c>
      <c r="N137">
        <v>0</v>
      </c>
      <c r="O137">
        <v>0</v>
      </c>
      <c r="P137" t="s">
        <v>69</v>
      </c>
      <c r="Q137">
        <v>2019</v>
      </c>
      <c r="R137" t="s">
        <v>86</v>
      </c>
      <c r="S137" t="s">
        <v>87</v>
      </c>
      <c r="T137">
        <v>-1</v>
      </c>
      <c r="U137">
        <f>shark_tank__1[[#This Row],[Cleaned Yearly Revenue]]/12</f>
        <v>-8.3333333333333329E-2</v>
      </c>
      <c r="X137">
        <v>75</v>
      </c>
      <c r="Y137">
        <v>3</v>
      </c>
      <c r="Z137">
        <v>2500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54" x14ac:dyDescent="0.3">
      <c r="A138">
        <v>2</v>
      </c>
      <c r="B138" s="4">
        <v>44928</v>
      </c>
      <c r="C138" s="4">
        <v>44995</v>
      </c>
      <c r="D138">
        <v>5</v>
      </c>
      <c r="E138" t="s">
        <v>584</v>
      </c>
      <c r="F138">
        <v>167</v>
      </c>
      <c r="G138" t="s">
        <v>1226</v>
      </c>
      <c r="H138" t="s">
        <v>79</v>
      </c>
      <c r="I138" t="s">
        <v>593</v>
      </c>
      <c r="J138" t="s">
        <v>594</v>
      </c>
      <c r="K138">
        <v>3</v>
      </c>
      <c r="L138">
        <v>3</v>
      </c>
      <c r="M138">
        <v>0</v>
      </c>
      <c r="N138">
        <v>0</v>
      </c>
      <c r="O138">
        <v>0</v>
      </c>
      <c r="P138" t="s">
        <v>69</v>
      </c>
      <c r="Q138" t="s">
        <v>1309</v>
      </c>
      <c r="R138" t="s">
        <v>70</v>
      </c>
      <c r="S138" t="s">
        <v>70</v>
      </c>
      <c r="T138">
        <v>480</v>
      </c>
      <c r="U138">
        <f>shark_tank__1[[#This Row],[Cleaned Yearly Revenue]]/12</f>
        <v>40</v>
      </c>
      <c r="X138">
        <v>100</v>
      </c>
      <c r="Y138">
        <v>1</v>
      </c>
      <c r="Z138">
        <v>10000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54" x14ac:dyDescent="0.3">
      <c r="A139">
        <v>2</v>
      </c>
      <c r="B139" s="4">
        <v>44928</v>
      </c>
      <c r="C139" s="4">
        <v>44995</v>
      </c>
      <c r="D139">
        <v>6</v>
      </c>
      <c r="E139" t="s">
        <v>595</v>
      </c>
      <c r="F139">
        <v>168</v>
      </c>
      <c r="G139" t="s">
        <v>1227</v>
      </c>
      <c r="H139" t="s">
        <v>597</v>
      </c>
      <c r="I139" t="s">
        <v>1378</v>
      </c>
      <c r="J139" t="s">
        <v>599</v>
      </c>
      <c r="K139">
        <v>3</v>
      </c>
      <c r="L139">
        <v>2</v>
      </c>
      <c r="M139">
        <v>1</v>
      </c>
      <c r="N139">
        <v>0</v>
      </c>
      <c r="O139">
        <v>0</v>
      </c>
      <c r="P139" t="s">
        <v>75</v>
      </c>
      <c r="Q139" t="s">
        <v>1309</v>
      </c>
      <c r="R139" t="s">
        <v>134</v>
      </c>
      <c r="S139" t="s">
        <v>99</v>
      </c>
      <c r="U139">
        <f>shark_tank__1[[#This Row],[Cleaned Yearly Revenue]]/12</f>
        <v>0</v>
      </c>
      <c r="X139">
        <v>50</v>
      </c>
      <c r="Y139">
        <v>3</v>
      </c>
      <c r="Z139">
        <v>1666.67</v>
      </c>
      <c r="AA139">
        <v>1</v>
      </c>
      <c r="AB139">
        <v>1</v>
      </c>
      <c r="AC139">
        <v>50</v>
      </c>
      <c r="AD139">
        <v>8</v>
      </c>
      <c r="AE139">
        <v>0</v>
      </c>
      <c r="AF139">
        <v>0</v>
      </c>
      <c r="AG139">
        <v>625</v>
      </c>
      <c r="AH139">
        <v>4</v>
      </c>
      <c r="AQ139">
        <v>12.5</v>
      </c>
      <c r="AR139">
        <v>2</v>
      </c>
      <c r="AT139">
        <v>12.5</v>
      </c>
      <c r="AU139">
        <v>2</v>
      </c>
      <c r="AW139">
        <v>12.5</v>
      </c>
      <c r="AX139">
        <v>2</v>
      </c>
      <c r="AZ139">
        <v>12.5</v>
      </c>
      <c r="BA139">
        <v>2</v>
      </c>
    </row>
    <row r="140" spans="1:54" x14ac:dyDescent="0.3">
      <c r="A140">
        <v>2</v>
      </c>
      <c r="B140" s="4">
        <v>44928</v>
      </c>
      <c r="C140" s="4">
        <v>44995</v>
      </c>
      <c r="D140">
        <v>6</v>
      </c>
      <c r="E140" t="s">
        <v>595</v>
      </c>
      <c r="F140">
        <v>169</v>
      </c>
      <c r="G140" t="s">
        <v>600</v>
      </c>
      <c r="H140" t="s">
        <v>286</v>
      </c>
      <c r="I140" t="s">
        <v>1379</v>
      </c>
      <c r="J140" t="s">
        <v>602</v>
      </c>
      <c r="K140">
        <v>2</v>
      </c>
      <c r="L140">
        <v>1</v>
      </c>
      <c r="M140">
        <v>1</v>
      </c>
      <c r="N140">
        <v>0</v>
      </c>
      <c r="O140">
        <v>0</v>
      </c>
      <c r="P140" t="s">
        <v>69</v>
      </c>
      <c r="Q140" t="s">
        <v>1309</v>
      </c>
      <c r="R140" t="s">
        <v>603</v>
      </c>
      <c r="S140" t="s">
        <v>604</v>
      </c>
      <c r="U140">
        <f>shark_tank__1[[#This Row],[Cleaned Yearly Revenue]]/12</f>
        <v>0</v>
      </c>
      <c r="X140">
        <v>100</v>
      </c>
      <c r="Y140">
        <v>0.5</v>
      </c>
      <c r="Z140">
        <v>20000</v>
      </c>
      <c r="AA140">
        <v>1</v>
      </c>
      <c r="AB140">
        <v>1</v>
      </c>
      <c r="AC140">
        <v>100</v>
      </c>
      <c r="AD140">
        <v>2</v>
      </c>
      <c r="AE140">
        <v>0</v>
      </c>
      <c r="AF140">
        <v>0</v>
      </c>
      <c r="AG140">
        <v>5000</v>
      </c>
      <c r="AH140">
        <v>3</v>
      </c>
      <c r="AN140">
        <v>33.33</v>
      </c>
      <c r="AO140">
        <v>0.66600000000000004</v>
      </c>
      <c r="AW140">
        <v>33.33</v>
      </c>
      <c r="AX140">
        <v>0.66600000000000004</v>
      </c>
      <c r="AZ140">
        <v>33.33</v>
      </c>
      <c r="BA140">
        <v>0.66600000000000004</v>
      </c>
    </row>
    <row r="141" spans="1:54" x14ac:dyDescent="0.3">
      <c r="A141">
        <v>2</v>
      </c>
      <c r="B141" s="4">
        <v>44928</v>
      </c>
      <c r="C141" s="4">
        <v>44995</v>
      </c>
      <c r="D141">
        <v>6</v>
      </c>
      <c r="E141" t="s">
        <v>595</v>
      </c>
      <c r="F141">
        <v>170</v>
      </c>
      <c r="G141" t="s">
        <v>1228</v>
      </c>
      <c r="H141" t="s">
        <v>66</v>
      </c>
      <c r="I141" t="s">
        <v>1380</v>
      </c>
      <c r="J141" t="s">
        <v>607</v>
      </c>
      <c r="K141">
        <v>3</v>
      </c>
      <c r="L141">
        <v>3</v>
      </c>
      <c r="M141">
        <v>0</v>
      </c>
      <c r="N141">
        <v>0</v>
      </c>
      <c r="O141">
        <v>0</v>
      </c>
      <c r="P141" t="s">
        <v>69</v>
      </c>
      <c r="Q141" t="s">
        <v>1309</v>
      </c>
      <c r="R141" t="s">
        <v>493</v>
      </c>
      <c r="S141" t="s">
        <v>99</v>
      </c>
      <c r="U141">
        <f>shark_tank__1[[#This Row],[Cleaned Yearly Revenue]]/12</f>
        <v>0</v>
      </c>
      <c r="X141">
        <v>75</v>
      </c>
      <c r="Y141">
        <v>1</v>
      </c>
      <c r="Z141">
        <v>7500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54" x14ac:dyDescent="0.3">
      <c r="A142">
        <v>2</v>
      </c>
      <c r="B142" s="4">
        <v>44928</v>
      </c>
      <c r="C142" s="4">
        <v>44995</v>
      </c>
      <c r="D142">
        <v>7</v>
      </c>
      <c r="E142" t="s">
        <v>608</v>
      </c>
      <c r="F142">
        <v>171</v>
      </c>
      <c r="G142" t="s">
        <v>1229</v>
      </c>
      <c r="H142" t="s">
        <v>225</v>
      </c>
      <c r="I142" t="s">
        <v>1381</v>
      </c>
      <c r="J142" t="s">
        <v>611</v>
      </c>
      <c r="K142">
        <v>2</v>
      </c>
      <c r="L142">
        <v>1</v>
      </c>
      <c r="M142">
        <v>1</v>
      </c>
      <c r="N142">
        <v>0</v>
      </c>
      <c r="O142">
        <v>1</v>
      </c>
      <c r="P142" t="s">
        <v>69</v>
      </c>
      <c r="Q142" t="s">
        <v>1309</v>
      </c>
      <c r="R142" t="s">
        <v>185</v>
      </c>
      <c r="S142" t="s">
        <v>186</v>
      </c>
      <c r="T142">
        <v>2400</v>
      </c>
      <c r="U142">
        <f>shark_tank__1[[#This Row],[Cleaned Yearly Revenue]]/12</f>
        <v>200</v>
      </c>
      <c r="X142">
        <v>250</v>
      </c>
      <c r="Y142">
        <v>1</v>
      </c>
      <c r="Z142">
        <v>25000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54" x14ac:dyDescent="0.3">
      <c r="A143">
        <v>2</v>
      </c>
      <c r="B143" s="4">
        <v>44928</v>
      </c>
      <c r="C143" s="4">
        <v>44995</v>
      </c>
      <c r="D143">
        <v>7</v>
      </c>
      <c r="E143" t="s">
        <v>608</v>
      </c>
      <c r="F143">
        <v>172</v>
      </c>
      <c r="G143" t="s">
        <v>1230</v>
      </c>
      <c r="H143" t="s">
        <v>66</v>
      </c>
      <c r="I143" t="s">
        <v>1382</v>
      </c>
      <c r="J143" t="s">
        <v>614</v>
      </c>
      <c r="K143">
        <v>2</v>
      </c>
      <c r="L143">
        <v>1</v>
      </c>
      <c r="M143">
        <v>1</v>
      </c>
      <c r="N143">
        <v>0</v>
      </c>
      <c r="O143">
        <v>0</v>
      </c>
      <c r="P143" t="s">
        <v>75</v>
      </c>
      <c r="Q143" t="s">
        <v>1309</v>
      </c>
      <c r="R143" t="s">
        <v>76</v>
      </c>
      <c r="S143" t="s">
        <v>77</v>
      </c>
      <c r="U143">
        <f>shark_tank__1[[#This Row],[Cleaned Yearly Revenue]]/12</f>
        <v>0</v>
      </c>
      <c r="X143">
        <v>30</v>
      </c>
      <c r="Y143">
        <v>10</v>
      </c>
      <c r="Z143">
        <v>300</v>
      </c>
      <c r="AA143">
        <v>1</v>
      </c>
      <c r="AB143">
        <v>1</v>
      </c>
      <c r="AC143">
        <v>30</v>
      </c>
      <c r="AD143">
        <v>10</v>
      </c>
      <c r="AE143">
        <v>0</v>
      </c>
      <c r="AF143">
        <v>0</v>
      </c>
      <c r="AG143">
        <v>300</v>
      </c>
      <c r="AH143">
        <v>2</v>
      </c>
      <c r="AT143">
        <v>15</v>
      </c>
      <c r="AU143">
        <v>5</v>
      </c>
      <c r="AW143">
        <v>15</v>
      </c>
      <c r="AX143">
        <v>5</v>
      </c>
    </row>
    <row r="144" spans="1:54" x14ac:dyDescent="0.3">
      <c r="A144">
        <v>2</v>
      </c>
      <c r="B144" s="4">
        <v>44928</v>
      </c>
      <c r="C144" s="4">
        <v>44995</v>
      </c>
      <c r="D144">
        <v>7</v>
      </c>
      <c r="E144" t="s">
        <v>608</v>
      </c>
      <c r="F144">
        <v>173</v>
      </c>
      <c r="G144" t="s">
        <v>1231</v>
      </c>
      <c r="H144" t="s">
        <v>173</v>
      </c>
      <c r="I144" t="s">
        <v>616</v>
      </c>
      <c r="J144" t="s">
        <v>617</v>
      </c>
      <c r="K144">
        <v>3</v>
      </c>
      <c r="L144">
        <v>3</v>
      </c>
      <c r="M144">
        <v>0</v>
      </c>
      <c r="N144">
        <v>0</v>
      </c>
      <c r="O144">
        <v>0</v>
      </c>
      <c r="P144" t="s">
        <v>69</v>
      </c>
      <c r="Q144" t="s">
        <v>1309</v>
      </c>
      <c r="R144" t="s">
        <v>134</v>
      </c>
      <c r="S144" t="s">
        <v>99</v>
      </c>
      <c r="U144">
        <f>shark_tank__1[[#This Row],[Cleaned Yearly Revenue]]/12</f>
        <v>0</v>
      </c>
      <c r="X144">
        <v>100</v>
      </c>
      <c r="Y144">
        <v>1.5</v>
      </c>
      <c r="Z144">
        <v>6666.67</v>
      </c>
      <c r="AA144">
        <v>1</v>
      </c>
      <c r="AB144">
        <v>1</v>
      </c>
      <c r="AC144">
        <v>50</v>
      </c>
      <c r="AD144">
        <v>3.5</v>
      </c>
      <c r="AE144">
        <v>50</v>
      </c>
      <c r="AF144">
        <v>10</v>
      </c>
      <c r="AG144">
        <v>1428.5714290000001</v>
      </c>
      <c r="AH144">
        <v>1</v>
      </c>
      <c r="AN144">
        <v>50</v>
      </c>
      <c r="AO144">
        <v>3.5</v>
      </c>
      <c r="AP144">
        <v>50</v>
      </c>
    </row>
    <row r="145" spans="1:59" x14ac:dyDescent="0.3">
      <c r="A145">
        <v>2</v>
      </c>
      <c r="B145" s="4">
        <v>44928</v>
      </c>
      <c r="C145" s="4">
        <v>44995</v>
      </c>
      <c r="D145">
        <v>8</v>
      </c>
      <c r="E145" t="s">
        <v>618</v>
      </c>
      <c r="F145">
        <v>174</v>
      </c>
      <c r="G145" t="s">
        <v>1232</v>
      </c>
      <c r="H145" t="s">
        <v>225</v>
      </c>
      <c r="I145" t="s">
        <v>1383</v>
      </c>
      <c r="J145" t="s">
        <v>621</v>
      </c>
      <c r="K145">
        <v>1</v>
      </c>
      <c r="L145">
        <v>1</v>
      </c>
      <c r="M145">
        <v>0</v>
      </c>
      <c r="N145">
        <v>0</v>
      </c>
      <c r="O145">
        <v>0</v>
      </c>
      <c r="P145" t="s">
        <v>69</v>
      </c>
      <c r="Q145" t="s">
        <v>1309</v>
      </c>
      <c r="R145" t="s">
        <v>622</v>
      </c>
      <c r="S145" t="s">
        <v>623</v>
      </c>
      <c r="U145">
        <f>shark_tank__1[[#This Row],[Cleaned Yearly Revenue]]/12</f>
        <v>0</v>
      </c>
      <c r="X145">
        <v>30</v>
      </c>
      <c r="Y145">
        <v>1</v>
      </c>
      <c r="Z145">
        <v>3000</v>
      </c>
      <c r="AA145">
        <v>1</v>
      </c>
      <c r="AB145">
        <v>1</v>
      </c>
      <c r="AC145">
        <v>30</v>
      </c>
      <c r="AD145">
        <v>3</v>
      </c>
      <c r="AE145">
        <v>0</v>
      </c>
      <c r="AF145">
        <v>0</v>
      </c>
      <c r="AG145">
        <v>1000</v>
      </c>
      <c r="AH145">
        <v>2</v>
      </c>
      <c r="AN145">
        <v>15</v>
      </c>
      <c r="AO145">
        <v>1.5</v>
      </c>
      <c r="AW145">
        <v>15</v>
      </c>
      <c r="AX145">
        <v>1.5</v>
      </c>
    </row>
    <row r="146" spans="1:59" x14ac:dyDescent="0.3">
      <c r="A146">
        <v>2</v>
      </c>
      <c r="B146" s="4">
        <v>44928</v>
      </c>
      <c r="C146" s="4">
        <v>44995</v>
      </c>
      <c r="D146">
        <v>8</v>
      </c>
      <c r="E146" t="s">
        <v>618</v>
      </c>
      <c r="F146">
        <v>175</v>
      </c>
      <c r="G146" t="s">
        <v>1233</v>
      </c>
      <c r="H146" t="s">
        <v>79</v>
      </c>
      <c r="I146" t="s">
        <v>1384</v>
      </c>
      <c r="J146" t="s">
        <v>626</v>
      </c>
      <c r="K146">
        <v>2</v>
      </c>
      <c r="L146">
        <v>0</v>
      </c>
      <c r="M146">
        <v>2</v>
      </c>
      <c r="N146">
        <v>0</v>
      </c>
      <c r="O146">
        <v>0</v>
      </c>
      <c r="P146" t="s">
        <v>69</v>
      </c>
      <c r="Q146">
        <v>2020</v>
      </c>
      <c r="R146" t="s">
        <v>70</v>
      </c>
      <c r="S146" t="s">
        <v>70</v>
      </c>
      <c r="U146">
        <f>shark_tank__1[[#This Row],[Cleaned Yearly Revenue]]/12</f>
        <v>0</v>
      </c>
      <c r="X146">
        <v>75</v>
      </c>
      <c r="Y146">
        <v>1</v>
      </c>
      <c r="Z146">
        <v>7500</v>
      </c>
      <c r="AA146">
        <v>1</v>
      </c>
      <c r="AB146">
        <v>1</v>
      </c>
      <c r="AC146">
        <v>75</v>
      </c>
      <c r="AD146">
        <v>3.75</v>
      </c>
      <c r="AE146">
        <v>0</v>
      </c>
      <c r="AF146">
        <v>0</v>
      </c>
      <c r="AG146">
        <v>2000</v>
      </c>
      <c r="AH146">
        <v>2</v>
      </c>
      <c r="AW146">
        <v>37.5</v>
      </c>
      <c r="AX146">
        <v>1.875</v>
      </c>
      <c r="AZ146">
        <v>37.5</v>
      </c>
      <c r="BA146">
        <v>1.875</v>
      </c>
    </row>
    <row r="147" spans="1:59" x14ac:dyDescent="0.3">
      <c r="A147">
        <v>2</v>
      </c>
      <c r="B147" s="4">
        <v>44928</v>
      </c>
      <c r="C147" s="4">
        <v>44995</v>
      </c>
      <c r="D147">
        <v>8</v>
      </c>
      <c r="E147" t="s">
        <v>618</v>
      </c>
      <c r="F147">
        <v>176</v>
      </c>
      <c r="G147" t="s">
        <v>1234</v>
      </c>
      <c r="H147" t="s">
        <v>79</v>
      </c>
      <c r="I147" t="s">
        <v>1385</v>
      </c>
      <c r="J147" t="s">
        <v>629</v>
      </c>
      <c r="K147">
        <v>1</v>
      </c>
      <c r="L147">
        <v>0</v>
      </c>
      <c r="M147">
        <v>1</v>
      </c>
      <c r="N147">
        <v>0</v>
      </c>
      <c r="O147">
        <v>0</v>
      </c>
      <c r="P147" t="s">
        <v>69</v>
      </c>
      <c r="Q147" t="s">
        <v>1309</v>
      </c>
      <c r="R147" t="s">
        <v>70</v>
      </c>
      <c r="S147" t="s">
        <v>70</v>
      </c>
      <c r="U147">
        <f>shark_tank__1[[#This Row],[Cleaned Yearly Revenue]]/12</f>
        <v>0</v>
      </c>
      <c r="X147">
        <v>25</v>
      </c>
      <c r="Y147">
        <v>5</v>
      </c>
      <c r="Z147">
        <v>500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59" x14ac:dyDescent="0.3">
      <c r="A148">
        <v>2</v>
      </c>
      <c r="B148" s="4">
        <v>44928</v>
      </c>
      <c r="C148" s="4">
        <v>44995</v>
      </c>
      <c r="D148">
        <v>9</v>
      </c>
      <c r="E148" t="s">
        <v>630</v>
      </c>
      <c r="F148">
        <v>177</v>
      </c>
      <c r="G148" t="s">
        <v>631</v>
      </c>
      <c r="H148" t="s">
        <v>79</v>
      </c>
      <c r="I148" t="s">
        <v>632</v>
      </c>
      <c r="J148" t="s">
        <v>633</v>
      </c>
      <c r="K148">
        <v>2</v>
      </c>
      <c r="L148">
        <v>1</v>
      </c>
      <c r="M148">
        <v>1</v>
      </c>
      <c r="N148">
        <v>0</v>
      </c>
      <c r="O148">
        <v>1</v>
      </c>
      <c r="P148" t="s">
        <v>75</v>
      </c>
      <c r="Q148">
        <v>2020</v>
      </c>
      <c r="R148" t="s">
        <v>76</v>
      </c>
      <c r="S148" t="s">
        <v>77</v>
      </c>
      <c r="T148">
        <v>350</v>
      </c>
      <c r="U148">
        <f>shark_tank__1[[#This Row],[Cleaned Yearly Revenue]]/12</f>
        <v>29.166666666666668</v>
      </c>
      <c r="X148">
        <v>65</v>
      </c>
      <c r="Y148">
        <v>1</v>
      </c>
      <c r="Z148">
        <v>6500</v>
      </c>
      <c r="AA148">
        <v>1</v>
      </c>
      <c r="AB148">
        <v>1</v>
      </c>
      <c r="AC148">
        <v>65</v>
      </c>
      <c r="AD148">
        <v>2</v>
      </c>
      <c r="AE148">
        <v>0</v>
      </c>
      <c r="AF148">
        <v>0</v>
      </c>
      <c r="AG148">
        <v>3250</v>
      </c>
      <c r="AH148">
        <v>2</v>
      </c>
      <c r="AT148">
        <v>32.5</v>
      </c>
      <c r="AU148">
        <v>1</v>
      </c>
      <c r="AW148">
        <v>32.5</v>
      </c>
      <c r="AX148">
        <v>1</v>
      </c>
    </row>
    <row r="149" spans="1:59" x14ac:dyDescent="0.3">
      <c r="A149">
        <v>2</v>
      </c>
      <c r="B149" s="4">
        <v>44928</v>
      </c>
      <c r="C149" s="4">
        <v>44995</v>
      </c>
      <c r="D149">
        <v>9</v>
      </c>
      <c r="E149" t="s">
        <v>630</v>
      </c>
      <c r="F149">
        <v>178</v>
      </c>
      <c r="G149" t="s">
        <v>634</v>
      </c>
      <c r="H149" t="s">
        <v>635</v>
      </c>
      <c r="I149" t="s">
        <v>1386</v>
      </c>
      <c r="J149" t="s">
        <v>637</v>
      </c>
      <c r="K149">
        <v>1</v>
      </c>
      <c r="L149">
        <v>0</v>
      </c>
      <c r="M149">
        <v>1</v>
      </c>
      <c r="N149">
        <v>0</v>
      </c>
      <c r="O149">
        <v>0</v>
      </c>
      <c r="P149" t="s">
        <v>69</v>
      </c>
      <c r="Q149" t="s">
        <v>1309</v>
      </c>
      <c r="R149" t="s">
        <v>70</v>
      </c>
      <c r="S149" t="s">
        <v>70</v>
      </c>
      <c r="U149">
        <f>shark_tank__1[[#This Row],[Cleaned Yearly Revenue]]/12</f>
        <v>0</v>
      </c>
      <c r="X149">
        <v>50</v>
      </c>
      <c r="Y149">
        <v>1</v>
      </c>
      <c r="Z149">
        <v>5000</v>
      </c>
      <c r="AA149">
        <v>1</v>
      </c>
      <c r="AB149">
        <v>1</v>
      </c>
      <c r="AC149">
        <v>50</v>
      </c>
      <c r="AD149">
        <v>2</v>
      </c>
      <c r="AE149">
        <v>0</v>
      </c>
      <c r="AF149">
        <v>0</v>
      </c>
      <c r="AG149">
        <v>2500</v>
      </c>
      <c r="AH149">
        <v>1</v>
      </c>
      <c r="AN149">
        <v>50</v>
      </c>
      <c r="AO149">
        <v>2</v>
      </c>
    </row>
    <row r="150" spans="1:59" x14ac:dyDescent="0.3">
      <c r="A150">
        <v>2</v>
      </c>
      <c r="B150" s="4">
        <v>44928</v>
      </c>
      <c r="C150" s="4">
        <v>44995</v>
      </c>
      <c r="D150">
        <v>10</v>
      </c>
      <c r="E150" t="s">
        <v>638</v>
      </c>
      <c r="F150">
        <v>179</v>
      </c>
      <c r="G150" t="s">
        <v>639</v>
      </c>
      <c r="H150" t="s">
        <v>79</v>
      </c>
      <c r="I150" t="s">
        <v>1387</v>
      </c>
      <c r="J150" t="s">
        <v>641</v>
      </c>
      <c r="K150">
        <v>2</v>
      </c>
      <c r="L150">
        <v>2</v>
      </c>
      <c r="M150">
        <v>0</v>
      </c>
      <c r="N150">
        <v>0</v>
      </c>
      <c r="O150">
        <v>0</v>
      </c>
      <c r="P150" t="s">
        <v>75</v>
      </c>
      <c r="Q150" t="s">
        <v>1309</v>
      </c>
      <c r="R150" t="s">
        <v>195</v>
      </c>
      <c r="S150" t="s">
        <v>196</v>
      </c>
      <c r="T150">
        <v>100</v>
      </c>
      <c r="U150">
        <f>shark_tank__1[[#This Row],[Cleaned Yearly Revenue]]/12</f>
        <v>8.3333333333333339</v>
      </c>
      <c r="X150">
        <v>50</v>
      </c>
      <c r="Y150">
        <v>3.3</v>
      </c>
      <c r="Z150">
        <v>1515.15</v>
      </c>
      <c r="AA150">
        <v>1</v>
      </c>
      <c r="AB150">
        <v>1</v>
      </c>
      <c r="AC150">
        <v>100</v>
      </c>
      <c r="AD150">
        <v>10</v>
      </c>
      <c r="AE150">
        <v>0</v>
      </c>
      <c r="AF150">
        <v>0</v>
      </c>
      <c r="AG150">
        <v>1000</v>
      </c>
      <c r="AH150">
        <v>1</v>
      </c>
      <c r="AQ150">
        <v>100</v>
      </c>
      <c r="AR150">
        <v>10</v>
      </c>
    </row>
    <row r="151" spans="1:59" x14ac:dyDescent="0.3">
      <c r="A151">
        <v>2</v>
      </c>
      <c r="B151" s="4">
        <v>44928</v>
      </c>
      <c r="C151" s="4">
        <v>44995</v>
      </c>
      <c r="D151">
        <v>10</v>
      </c>
      <c r="E151" t="s">
        <v>638</v>
      </c>
      <c r="F151">
        <v>180</v>
      </c>
      <c r="G151" t="s">
        <v>642</v>
      </c>
      <c r="H151" t="s">
        <v>225</v>
      </c>
      <c r="I151" t="s">
        <v>1388</v>
      </c>
      <c r="J151" t="s">
        <v>644</v>
      </c>
      <c r="K151">
        <v>2</v>
      </c>
      <c r="L151">
        <v>2</v>
      </c>
      <c r="M151">
        <v>0</v>
      </c>
      <c r="N151">
        <v>0</v>
      </c>
      <c r="O151">
        <v>0</v>
      </c>
      <c r="P151" t="s">
        <v>69</v>
      </c>
      <c r="Q151" t="s">
        <v>1309</v>
      </c>
      <c r="R151" t="s">
        <v>281</v>
      </c>
      <c r="S151" t="s">
        <v>93</v>
      </c>
      <c r="T151">
        <v>1560</v>
      </c>
      <c r="U151">
        <f>shark_tank__1[[#This Row],[Cleaned Yearly Revenue]]/12</f>
        <v>130</v>
      </c>
      <c r="X151">
        <v>50</v>
      </c>
      <c r="Y151">
        <v>5</v>
      </c>
      <c r="Z151">
        <v>1000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59" x14ac:dyDescent="0.3">
      <c r="A152">
        <v>2</v>
      </c>
      <c r="B152" s="4">
        <v>44928</v>
      </c>
      <c r="C152" s="4">
        <v>44995</v>
      </c>
      <c r="D152">
        <v>10</v>
      </c>
      <c r="E152" t="s">
        <v>638</v>
      </c>
      <c r="F152">
        <v>181</v>
      </c>
      <c r="G152" t="s">
        <v>645</v>
      </c>
      <c r="H152" t="s">
        <v>448</v>
      </c>
      <c r="I152" t="s">
        <v>646</v>
      </c>
      <c r="J152" t="s">
        <v>647</v>
      </c>
      <c r="K152">
        <v>2</v>
      </c>
      <c r="L152">
        <v>2</v>
      </c>
      <c r="M152">
        <v>0</v>
      </c>
      <c r="N152">
        <v>0</v>
      </c>
      <c r="O152">
        <v>0</v>
      </c>
      <c r="P152" t="s">
        <v>69</v>
      </c>
      <c r="Q152" t="s">
        <v>1309</v>
      </c>
      <c r="R152" t="s">
        <v>86</v>
      </c>
      <c r="S152" t="s">
        <v>87</v>
      </c>
      <c r="U152">
        <f>shark_tank__1[[#This Row],[Cleaned Yearly Revenue]]/12</f>
        <v>0</v>
      </c>
      <c r="X152">
        <v>75</v>
      </c>
      <c r="Y152">
        <v>7.5</v>
      </c>
      <c r="Z152">
        <v>1000</v>
      </c>
      <c r="AA152">
        <v>1</v>
      </c>
      <c r="AB152">
        <v>1</v>
      </c>
      <c r="AC152">
        <v>25</v>
      </c>
      <c r="AD152">
        <v>7.5</v>
      </c>
      <c r="AE152">
        <v>50</v>
      </c>
      <c r="AF152">
        <v>10</v>
      </c>
      <c r="AG152">
        <v>333.33333329999999</v>
      </c>
      <c r="AH152">
        <v>1</v>
      </c>
      <c r="AN152">
        <v>25</v>
      </c>
      <c r="AO152">
        <v>7.5</v>
      </c>
      <c r="AP152">
        <v>50</v>
      </c>
    </row>
    <row r="153" spans="1:59" x14ac:dyDescent="0.3">
      <c r="A153">
        <v>2</v>
      </c>
      <c r="B153" s="4">
        <v>44928</v>
      </c>
      <c r="C153" s="4">
        <v>44995</v>
      </c>
      <c r="D153">
        <v>11</v>
      </c>
      <c r="E153" t="s">
        <v>648</v>
      </c>
      <c r="F153">
        <v>182</v>
      </c>
      <c r="G153" t="s">
        <v>1497</v>
      </c>
      <c r="H153" t="s">
        <v>448</v>
      </c>
      <c r="I153" t="s">
        <v>1389</v>
      </c>
      <c r="J153" t="s">
        <v>651</v>
      </c>
      <c r="K153">
        <v>2</v>
      </c>
      <c r="L153">
        <v>2</v>
      </c>
      <c r="M153">
        <v>0</v>
      </c>
      <c r="N153">
        <v>0</v>
      </c>
      <c r="O153">
        <v>0</v>
      </c>
      <c r="P153" t="s">
        <v>69</v>
      </c>
      <c r="Q153" t="s">
        <v>1309</v>
      </c>
      <c r="R153" t="s">
        <v>165</v>
      </c>
      <c r="S153" t="s">
        <v>99</v>
      </c>
      <c r="U153">
        <f>shark_tank__1[[#This Row],[Cleaned Yearly Revenue]]/12</f>
        <v>0</v>
      </c>
      <c r="X153">
        <v>40</v>
      </c>
      <c r="Y153">
        <v>2</v>
      </c>
      <c r="Z153">
        <v>2000</v>
      </c>
      <c r="AA153">
        <v>1</v>
      </c>
      <c r="AB153">
        <v>1</v>
      </c>
      <c r="AC153">
        <v>40</v>
      </c>
      <c r="AD153">
        <v>10</v>
      </c>
      <c r="AE153">
        <v>0</v>
      </c>
      <c r="AF153">
        <v>0</v>
      </c>
      <c r="AG153">
        <v>400</v>
      </c>
      <c r="AH153">
        <v>1</v>
      </c>
      <c r="AZ153">
        <v>40</v>
      </c>
      <c r="BA153">
        <v>10</v>
      </c>
    </row>
    <row r="154" spans="1:59" x14ac:dyDescent="0.3">
      <c r="A154">
        <v>2</v>
      </c>
      <c r="B154" s="4">
        <v>44928</v>
      </c>
      <c r="C154" s="4">
        <v>44995</v>
      </c>
      <c r="D154">
        <v>11</v>
      </c>
      <c r="E154" t="s">
        <v>648</v>
      </c>
      <c r="F154">
        <v>183</v>
      </c>
      <c r="G154" t="s">
        <v>652</v>
      </c>
      <c r="H154" t="s">
        <v>225</v>
      </c>
      <c r="I154" t="s">
        <v>1390</v>
      </c>
      <c r="J154" t="s">
        <v>654</v>
      </c>
      <c r="K154">
        <v>4</v>
      </c>
      <c r="L154">
        <v>4</v>
      </c>
      <c r="M154">
        <v>0</v>
      </c>
      <c r="N154">
        <v>0</v>
      </c>
      <c r="O154">
        <v>0</v>
      </c>
      <c r="P154" t="s">
        <v>69</v>
      </c>
      <c r="Q154" t="s">
        <v>1309</v>
      </c>
      <c r="R154" t="s">
        <v>70</v>
      </c>
      <c r="S154" t="s">
        <v>70</v>
      </c>
      <c r="U154">
        <f>shark_tank__1[[#This Row],[Cleaned Yearly Revenue]]/12</f>
        <v>0</v>
      </c>
      <c r="X154">
        <v>75</v>
      </c>
      <c r="Y154">
        <v>1.5</v>
      </c>
      <c r="Z154">
        <v>5000</v>
      </c>
      <c r="AA154">
        <v>1</v>
      </c>
      <c r="AB154">
        <v>1</v>
      </c>
      <c r="AC154">
        <v>75</v>
      </c>
      <c r="AD154">
        <v>3</v>
      </c>
      <c r="AE154">
        <v>0</v>
      </c>
      <c r="AF154">
        <v>0</v>
      </c>
      <c r="AG154">
        <v>2500</v>
      </c>
      <c r="AH154">
        <v>2</v>
      </c>
      <c r="AW154">
        <v>37.5</v>
      </c>
      <c r="AX154">
        <v>1.5</v>
      </c>
      <c r="AZ154">
        <v>37.5</v>
      </c>
      <c r="BA154">
        <v>1.5</v>
      </c>
    </row>
    <row r="155" spans="1:59" x14ac:dyDescent="0.3">
      <c r="A155">
        <v>2</v>
      </c>
      <c r="B155" s="4">
        <v>44928</v>
      </c>
      <c r="C155" s="4">
        <v>44995</v>
      </c>
      <c r="D155">
        <v>11</v>
      </c>
      <c r="E155" t="s">
        <v>648</v>
      </c>
      <c r="F155">
        <v>184</v>
      </c>
      <c r="G155" t="s">
        <v>1236</v>
      </c>
      <c r="H155" t="s">
        <v>182</v>
      </c>
      <c r="I155" t="s">
        <v>656</v>
      </c>
      <c r="J155" t="s">
        <v>657</v>
      </c>
      <c r="K155">
        <v>2</v>
      </c>
      <c r="L155">
        <v>1</v>
      </c>
      <c r="M155">
        <v>1</v>
      </c>
      <c r="N155">
        <v>0</v>
      </c>
      <c r="O155">
        <v>0</v>
      </c>
      <c r="P155" t="s">
        <v>69</v>
      </c>
      <c r="Q155">
        <v>2006</v>
      </c>
      <c r="R155" t="s">
        <v>86</v>
      </c>
      <c r="S155" t="s">
        <v>87</v>
      </c>
      <c r="U155">
        <f>shark_tank__1[[#This Row],[Cleaned Yearly Revenue]]/12</f>
        <v>0</v>
      </c>
      <c r="X155">
        <v>80</v>
      </c>
      <c r="Y155">
        <v>4</v>
      </c>
      <c r="Z155">
        <v>2000</v>
      </c>
      <c r="AA155">
        <v>1</v>
      </c>
      <c r="AB155">
        <v>1</v>
      </c>
      <c r="AC155">
        <v>30</v>
      </c>
      <c r="AD155">
        <v>4</v>
      </c>
      <c r="AE155">
        <v>50</v>
      </c>
      <c r="AF155">
        <v>10</v>
      </c>
      <c r="AG155">
        <v>750</v>
      </c>
      <c r="AH155">
        <v>1</v>
      </c>
      <c r="AN155">
        <v>30</v>
      </c>
      <c r="AO155">
        <v>4</v>
      </c>
      <c r="AP155">
        <v>50</v>
      </c>
    </row>
    <row r="156" spans="1:59" x14ac:dyDescent="0.3">
      <c r="A156">
        <v>2</v>
      </c>
      <c r="B156" s="4">
        <v>44928</v>
      </c>
      <c r="C156" s="4">
        <v>44995</v>
      </c>
      <c r="D156">
        <v>12</v>
      </c>
      <c r="E156" t="s">
        <v>658</v>
      </c>
      <c r="F156">
        <v>185</v>
      </c>
      <c r="G156" t="s">
        <v>1237</v>
      </c>
      <c r="H156" t="s">
        <v>79</v>
      </c>
      <c r="I156" t="s">
        <v>660</v>
      </c>
      <c r="J156" t="s">
        <v>661</v>
      </c>
      <c r="K156">
        <v>2</v>
      </c>
      <c r="L156">
        <v>2</v>
      </c>
      <c r="M156">
        <v>0</v>
      </c>
      <c r="N156">
        <v>0</v>
      </c>
      <c r="O156">
        <v>0</v>
      </c>
      <c r="P156" t="s">
        <v>69</v>
      </c>
      <c r="Q156" t="s">
        <v>1309</v>
      </c>
      <c r="R156" t="s">
        <v>165</v>
      </c>
      <c r="S156" t="s">
        <v>99</v>
      </c>
      <c r="U156">
        <f>shark_tank__1[[#This Row],[Cleaned Yearly Revenue]]/12</f>
        <v>0</v>
      </c>
      <c r="X156">
        <v>60</v>
      </c>
      <c r="Y156">
        <v>2</v>
      </c>
      <c r="Z156">
        <v>3000</v>
      </c>
      <c r="AA156">
        <v>1</v>
      </c>
      <c r="AB156">
        <v>1</v>
      </c>
      <c r="AC156">
        <v>60</v>
      </c>
      <c r="AD156">
        <v>4</v>
      </c>
      <c r="AE156">
        <v>0</v>
      </c>
      <c r="AF156">
        <v>0</v>
      </c>
      <c r="AG156">
        <v>1500</v>
      </c>
      <c r="AH156">
        <v>1</v>
      </c>
      <c r="AW156">
        <v>60</v>
      </c>
      <c r="AX156">
        <v>4</v>
      </c>
    </row>
    <row r="157" spans="1:59" x14ac:dyDescent="0.3">
      <c r="A157">
        <v>2</v>
      </c>
      <c r="B157" s="4">
        <v>44928</v>
      </c>
      <c r="C157" s="4">
        <v>44995</v>
      </c>
      <c r="D157">
        <v>12</v>
      </c>
      <c r="E157" t="s">
        <v>658</v>
      </c>
      <c r="F157">
        <v>186</v>
      </c>
      <c r="G157" t="s">
        <v>662</v>
      </c>
      <c r="H157" t="s">
        <v>173</v>
      </c>
      <c r="I157" t="s">
        <v>1391</v>
      </c>
      <c r="J157" t="s">
        <v>664</v>
      </c>
      <c r="K157">
        <v>1</v>
      </c>
      <c r="L157">
        <v>1</v>
      </c>
      <c r="M157">
        <v>0</v>
      </c>
      <c r="N157">
        <v>0</v>
      </c>
      <c r="O157">
        <v>0</v>
      </c>
      <c r="P157" t="s">
        <v>69</v>
      </c>
      <c r="Q157">
        <v>2021</v>
      </c>
      <c r="R157" t="s">
        <v>665</v>
      </c>
      <c r="S157" t="s">
        <v>196</v>
      </c>
      <c r="U157">
        <f>shark_tank__1[[#This Row],[Cleaned Yearly Revenue]]/12</f>
        <v>0</v>
      </c>
      <c r="X157">
        <v>100</v>
      </c>
      <c r="Y157">
        <v>2.5</v>
      </c>
      <c r="Z157">
        <v>4000</v>
      </c>
      <c r="AA157">
        <v>1</v>
      </c>
      <c r="AB157">
        <v>1</v>
      </c>
      <c r="AC157">
        <v>100</v>
      </c>
      <c r="AD157">
        <v>2.5</v>
      </c>
      <c r="AE157">
        <v>0</v>
      </c>
      <c r="AF157">
        <v>0</v>
      </c>
      <c r="AG157">
        <v>4000</v>
      </c>
      <c r="AH157">
        <v>1</v>
      </c>
      <c r="AN157">
        <v>100</v>
      </c>
      <c r="AO157">
        <v>2.5</v>
      </c>
    </row>
    <row r="158" spans="1:59" x14ac:dyDescent="0.3">
      <c r="A158">
        <v>2</v>
      </c>
      <c r="B158" s="4">
        <v>44928</v>
      </c>
      <c r="C158" s="4">
        <v>44995</v>
      </c>
      <c r="D158">
        <v>12</v>
      </c>
      <c r="E158" t="s">
        <v>658</v>
      </c>
      <c r="F158">
        <v>187</v>
      </c>
      <c r="G158" t="s">
        <v>1238</v>
      </c>
      <c r="H158" t="s">
        <v>182</v>
      </c>
      <c r="I158" t="s">
        <v>1392</v>
      </c>
      <c r="J158" t="s">
        <v>668</v>
      </c>
      <c r="K158">
        <v>1</v>
      </c>
      <c r="L158">
        <v>1</v>
      </c>
      <c r="M158">
        <v>0</v>
      </c>
      <c r="N158">
        <v>0</v>
      </c>
      <c r="O158">
        <v>0</v>
      </c>
      <c r="P158" t="s">
        <v>69</v>
      </c>
      <c r="Q158" t="s">
        <v>1309</v>
      </c>
      <c r="R158" t="s">
        <v>195</v>
      </c>
      <c r="S158" t="s">
        <v>196</v>
      </c>
      <c r="U158">
        <f>shark_tank__1[[#This Row],[Cleaned Yearly Revenue]]/12</f>
        <v>0</v>
      </c>
      <c r="V158">
        <v>75</v>
      </c>
      <c r="X158">
        <v>50</v>
      </c>
      <c r="Y158">
        <v>2</v>
      </c>
      <c r="Z158">
        <v>2500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59" x14ac:dyDescent="0.3">
      <c r="A159">
        <v>2</v>
      </c>
      <c r="B159" s="4">
        <v>44928</v>
      </c>
      <c r="C159" s="4">
        <v>44995</v>
      </c>
      <c r="D159">
        <v>13</v>
      </c>
      <c r="E159" t="s">
        <v>669</v>
      </c>
      <c r="F159">
        <v>188</v>
      </c>
      <c r="G159" t="s">
        <v>1393</v>
      </c>
      <c r="H159" t="s">
        <v>182</v>
      </c>
      <c r="I159" t="s">
        <v>1394</v>
      </c>
      <c r="J159" t="s">
        <v>672</v>
      </c>
      <c r="K159">
        <v>3</v>
      </c>
      <c r="L159">
        <v>2</v>
      </c>
      <c r="M159">
        <v>1</v>
      </c>
      <c r="N159">
        <v>0</v>
      </c>
      <c r="O159">
        <v>0</v>
      </c>
      <c r="P159" t="s">
        <v>75</v>
      </c>
      <c r="Q159" t="s">
        <v>1309</v>
      </c>
      <c r="R159" t="s">
        <v>394</v>
      </c>
      <c r="S159" t="s">
        <v>77</v>
      </c>
      <c r="U159">
        <f>shark_tank__1[[#This Row],[Cleaned Yearly Revenue]]/12</f>
        <v>0</v>
      </c>
      <c r="X159">
        <v>75</v>
      </c>
      <c r="Y159">
        <v>4</v>
      </c>
      <c r="Z159">
        <v>1875</v>
      </c>
      <c r="AA159">
        <v>1</v>
      </c>
      <c r="AB159">
        <v>1</v>
      </c>
      <c r="AC159">
        <v>75</v>
      </c>
      <c r="AD159">
        <v>15</v>
      </c>
      <c r="AE159">
        <v>0</v>
      </c>
      <c r="AF159">
        <v>0</v>
      </c>
      <c r="AG159">
        <v>500</v>
      </c>
      <c r="AH159">
        <v>4</v>
      </c>
      <c r="AN159">
        <v>18.75</v>
      </c>
      <c r="AO159">
        <v>3.75</v>
      </c>
      <c r="AW159">
        <v>18.75</v>
      </c>
      <c r="AX159">
        <v>3.75</v>
      </c>
      <c r="AZ159">
        <v>18.75</v>
      </c>
      <c r="BA159">
        <v>3.75</v>
      </c>
      <c r="BF159">
        <v>18.75</v>
      </c>
      <c r="BG159">
        <v>3.75</v>
      </c>
    </row>
    <row r="160" spans="1:59" x14ac:dyDescent="0.3">
      <c r="A160">
        <v>2</v>
      </c>
      <c r="B160" s="4">
        <v>44928</v>
      </c>
      <c r="C160" s="4">
        <v>44995</v>
      </c>
      <c r="D160">
        <v>13</v>
      </c>
      <c r="E160" t="s">
        <v>669</v>
      </c>
      <c r="F160">
        <v>189</v>
      </c>
      <c r="G160" t="s">
        <v>673</v>
      </c>
      <c r="H160" t="s">
        <v>79</v>
      </c>
      <c r="I160" t="s">
        <v>1395</v>
      </c>
      <c r="J160" t="s">
        <v>675</v>
      </c>
      <c r="K160">
        <v>2</v>
      </c>
      <c r="L160">
        <v>0</v>
      </c>
      <c r="M160">
        <v>2</v>
      </c>
      <c r="N160">
        <v>0</v>
      </c>
      <c r="O160">
        <v>0</v>
      </c>
      <c r="P160" t="s">
        <v>75</v>
      </c>
      <c r="Q160" t="s">
        <v>1309</v>
      </c>
      <c r="R160" t="s">
        <v>70</v>
      </c>
      <c r="S160" t="s">
        <v>70</v>
      </c>
      <c r="U160">
        <f>shark_tank__1[[#This Row],[Cleaned Yearly Revenue]]/12</f>
        <v>0</v>
      </c>
      <c r="X160">
        <v>40</v>
      </c>
      <c r="Y160">
        <v>5</v>
      </c>
      <c r="Z160">
        <v>800</v>
      </c>
      <c r="AA160">
        <v>1</v>
      </c>
      <c r="AB160">
        <v>1</v>
      </c>
      <c r="AC160">
        <v>40</v>
      </c>
      <c r="AD160">
        <v>20</v>
      </c>
      <c r="AE160">
        <v>0</v>
      </c>
      <c r="AF160">
        <v>0</v>
      </c>
      <c r="AG160">
        <v>200</v>
      </c>
      <c r="AH160">
        <v>1</v>
      </c>
      <c r="BF160">
        <v>40</v>
      </c>
      <c r="BG160">
        <v>20</v>
      </c>
    </row>
    <row r="161" spans="1:60" x14ac:dyDescent="0.3">
      <c r="A161">
        <v>2</v>
      </c>
      <c r="B161" s="4">
        <v>44928</v>
      </c>
      <c r="C161" s="4">
        <v>44995</v>
      </c>
      <c r="D161">
        <v>13</v>
      </c>
      <c r="E161" t="s">
        <v>669</v>
      </c>
      <c r="F161">
        <v>190</v>
      </c>
      <c r="G161" t="s">
        <v>676</v>
      </c>
      <c r="H161" t="s">
        <v>66</v>
      </c>
      <c r="I161" t="s">
        <v>677</v>
      </c>
      <c r="J161" t="s">
        <v>678</v>
      </c>
      <c r="K161">
        <v>2</v>
      </c>
      <c r="L161">
        <v>1</v>
      </c>
      <c r="M161">
        <v>1</v>
      </c>
      <c r="N161">
        <v>0</v>
      </c>
      <c r="O161">
        <v>1</v>
      </c>
      <c r="P161" t="s">
        <v>69</v>
      </c>
      <c r="Q161">
        <v>2016</v>
      </c>
      <c r="R161" t="s">
        <v>155</v>
      </c>
      <c r="S161" t="s">
        <v>156</v>
      </c>
      <c r="T161">
        <v>1200</v>
      </c>
      <c r="U161">
        <f>shark_tank__1[[#This Row],[Cleaned Yearly Revenue]]/12</f>
        <v>100</v>
      </c>
      <c r="X161">
        <v>150</v>
      </c>
      <c r="Y161">
        <v>1</v>
      </c>
      <c r="Z161">
        <v>15000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60" x14ac:dyDescent="0.3">
      <c r="A162">
        <v>2</v>
      </c>
      <c r="B162" s="4">
        <v>44928</v>
      </c>
      <c r="C162" s="4">
        <v>44995</v>
      </c>
      <c r="D162">
        <v>14</v>
      </c>
      <c r="E162" t="s">
        <v>679</v>
      </c>
      <c r="F162">
        <v>191</v>
      </c>
      <c r="G162" t="s">
        <v>680</v>
      </c>
      <c r="H162" t="s">
        <v>182</v>
      </c>
      <c r="I162" t="s">
        <v>1396</v>
      </c>
      <c r="J162" t="s">
        <v>682</v>
      </c>
      <c r="K162">
        <v>2</v>
      </c>
      <c r="L162">
        <v>1</v>
      </c>
      <c r="M162">
        <v>1</v>
      </c>
      <c r="N162">
        <v>0</v>
      </c>
      <c r="O162">
        <v>0</v>
      </c>
      <c r="P162" t="s">
        <v>75</v>
      </c>
      <c r="Q162">
        <v>2018</v>
      </c>
      <c r="R162" t="s">
        <v>683</v>
      </c>
      <c r="S162" t="s">
        <v>345</v>
      </c>
      <c r="T162">
        <v>120</v>
      </c>
      <c r="U162">
        <f>shark_tank__1[[#This Row],[Cleaned Yearly Revenue]]/12</f>
        <v>10</v>
      </c>
      <c r="X162">
        <v>51</v>
      </c>
      <c r="Y162">
        <v>1</v>
      </c>
      <c r="Z162">
        <v>5100</v>
      </c>
      <c r="AA162">
        <v>1</v>
      </c>
      <c r="AB162">
        <v>1</v>
      </c>
      <c r="AC162">
        <v>51</v>
      </c>
      <c r="AD162">
        <v>6</v>
      </c>
      <c r="AE162">
        <v>0</v>
      </c>
      <c r="AF162">
        <v>0</v>
      </c>
      <c r="AG162">
        <v>850</v>
      </c>
      <c r="AH162">
        <v>2</v>
      </c>
      <c r="AQ162">
        <v>25.5</v>
      </c>
      <c r="AR162">
        <v>3</v>
      </c>
      <c r="AZ162">
        <v>25.5</v>
      </c>
      <c r="BA162">
        <v>3</v>
      </c>
    </row>
    <row r="163" spans="1:60" x14ac:dyDescent="0.3">
      <c r="A163">
        <v>2</v>
      </c>
      <c r="B163" s="4">
        <v>44928</v>
      </c>
      <c r="C163" s="4">
        <v>44995</v>
      </c>
      <c r="D163">
        <v>14</v>
      </c>
      <c r="E163" t="s">
        <v>679</v>
      </c>
      <c r="F163">
        <v>192</v>
      </c>
      <c r="G163" t="s">
        <v>1240</v>
      </c>
      <c r="H163" t="s">
        <v>66</v>
      </c>
      <c r="I163" t="s">
        <v>1397</v>
      </c>
      <c r="J163" t="s">
        <v>686</v>
      </c>
      <c r="K163">
        <v>2</v>
      </c>
      <c r="L163">
        <v>1</v>
      </c>
      <c r="M163">
        <v>1</v>
      </c>
      <c r="N163">
        <v>0</v>
      </c>
      <c r="O163">
        <v>1</v>
      </c>
      <c r="P163" t="s">
        <v>69</v>
      </c>
      <c r="Q163" t="s">
        <v>1309</v>
      </c>
      <c r="R163" t="s">
        <v>70</v>
      </c>
      <c r="S163" t="s">
        <v>70</v>
      </c>
      <c r="U163">
        <f>shark_tank__1[[#This Row],[Cleaned Yearly Revenue]]/12</f>
        <v>0</v>
      </c>
      <c r="X163">
        <v>75</v>
      </c>
      <c r="Y163">
        <v>2.25</v>
      </c>
      <c r="Z163">
        <v>3333.33</v>
      </c>
      <c r="AA163">
        <v>1</v>
      </c>
      <c r="AB163">
        <v>1</v>
      </c>
      <c r="AC163">
        <v>75</v>
      </c>
      <c r="AD163">
        <v>5</v>
      </c>
      <c r="AE163">
        <v>0</v>
      </c>
      <c r="AF163">
        <v>0</v>
      </c>
      <c r="AG163">
        <v>1500</v>
      </c>
      <c r="AH163">
        <v>1</v>
      </c>
      <c r="BF163">
        <v>75</v>
      </c>
      <c r="BG163">
        <v>5</v>
      </c>
    </row>
    <row r="164" spans="1:60" x14ac:dyDescent="0.3">
      <c r="A164">
        <v>2</v>
      </c>
      <c r="B164" s="4">
        <v>44928</v>
      </c>
      <c r="C164" s="4">
        <v>44995</v>
      </c>
      <c r="D164">
        <v>14</v>
      </c>
      <c r="E164" t="s">
        <v>679</v>
      </c>
      <c r="F164">
        <v>193</v>
      </c>
      <c r="G164" t="s">
        <v>687</v>
      </c>
      <c r="H164" t="s">
        <v>635</v>
      </c>
      <c r="I164" t="s">
        <v>1398</v>
      </c>
      <c r="J164" t="s">
        <v>689</v>
      </c>
      <c r="K164">
        <v>4</v>
      </c>
      <c r="L164">
        <v>4</v>
      </c>
      <c r="M164">
        <v>0</v>
      </c>
      <c r="N164">
        <v>0</v>
      </c>
      <c r="O164">
        <v>0</v>
      </c>
      <c r="P164" t="s">
        <v>69</v>
      </c>
      <c r="Q164" t="s">
        <v>1309</v>
      </c>
      <c r="R164" t="s">
        <v>690</v>
      </c>
      <c r="S164" t="s">
        <v>99</v>
      </c>
      <c r="U164">
        <f>shark_tank__1[[#This Row],[Cleaned Yearly Revenue]]/12</f>
        <v>0</v>
      </c>
      <c r="X164">
        <v>50</v>
      </c>
      <c r="Y164">
        <v>8</v>
      </c>
      <c r="Z164">
        <v>625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60" x14ac:dyDescent="0.3">
      <c r="A165">
        <v>2</v>
      </c>
      <c r="B165" s="4">
        <v>44928</v>
      </c>
      <c r="C165" s="4">
        <v>44995</v>
      </c>
      <c r="D165">
        <v>15</v>
      </c>
      <c r="E165" t="s">
        <v>691</v>
      </c>
      <c r="F165">
        <v>194</v>
      </c>
      <c r="G165" t="s">
        <v>692</v>
      </c>
      <c r="H165" t="s">
        <v>66</v>
      </c>
      <c r="I165" t="s">
        <v>1399</v>
      </c>
      <c r="J165" t="s">
        <v>694</v>
      </c>
      <c r="K165">
        <v>2</v>
      </c>
      <c r="L165">
        <v>2</v>
      </c>
      <c r="M165">
        <v>0</v>
      </c>
      <c r="N165">
        <v>0</v>
      </c>
      <c r="O165">
        <v>0</v>
      </c>
      <c r="P165" t="s">
        <v>69</v>
      </c>
      <c r="Q165">
        <v>2021</v>
      </c>
      <c r="R165" t="s">
        <v>695</v>
      </c>
      <c r="S165" t="s">
        <v>99</v>
      </c>
      <c r="T165">
        <v>384</v>
      </c>
      <c r="U165">
        <f>shark_tank__1[[#This Row],[Cleaned Yearly Revenue]]/12</f>
        <v>32</v>
      </c>
      <c r="V165">
        <v>23</v>
      </c>
      <c r="X165">
        <v>72</v>
      </c>
      <c r="Y165">
        <v>2</v>
      </c>
      <c r="Z165">
        <v>3600</v>
      </c>
      <c r="AA165">
        <v>1</v>
      </c>
      <c r="AB165">
        <v>1</v>
      </c>
      <c r="AC165">
        <v>72</v>
      </c>
      <c r="AD165">
        <v>6.5</v>
      </c>
      <c r="AE165">
        <v>0</v>
      </c>
      <c r="AF165">
        <v>0</v>
      </c>
      <c r="AG165">
        <v>1107.6923079999999</v>
      </c>
      <c r="AH165">
        <v>1</v>
      </c>
      <c r="BF165">
        <v>72</v>
      </c>
      <c r="BG165">
        <v>6.5</v>
      </c>
    </row>
    <row r="166" spans="1:60" x14ac:dyDescent="0.3">
      <c r="A166">
        <v>2</v>
      </c>
      <c r="B166" s="4">
        <v>44928</v>
      </c>
      <c r="C166" s="4">
        <v>44995</v>
      </c>
      <c r="D166">
        <v>15</v>
      </c>
      <c r="E166" t="s">
        <v>691</v>
      </c>
      <c r="F166">
        <v>195</v>
      </c>
      <c r="G166" t="s">
        <v>1241</v>
      </c>
      <c r="H166" t="s">
        <v>286</v>
      </c>
      <c r="I166" t="s">
        <v>1400</v>
      </c>
      <c r="J166" t="s">
        <v>698</v>
      </c>
      <c r="K166">
        <v>2</v>
      </c>
      <c r="L166">
        <v>2</v>
      </c>
      <c r="M166">
        <v>0</v>
      </c>
      <c r="N166">
        <v>0</v>
      </c>
      <c r="O166">
        <v>0</v>
      </c>
      <c r="P166" t="s">
        <v>75</v>
      </c>
      <c r="Q166">
        <v>2019</v>
      </c>
      <c r="R166" t="s">
        <v>699</v>
      </c>
      <c r="S166" t="s">
        <v>340</v>
      </c>
      <c r="T166">
        <v>-1</v>
      </c>
      <c r="U166">
        <f>shark_tank__1[[#This Row],[Cleaned Yearly Revenue]]/12</f>
        <v>-8.3333333333333329E-2</v>
      </c>
      <c r="V166">
        <v>54</v>
      </c>
      <c r="X166">
        <v>90</v>
      </c>
      <c r="Y166">
        <v>3</v>
      </c>
      <c r="Z166">
        <v>3000</v>
      </c>
      <c r="AA166">
        <v>1</v>
      </c>
      <c r="AB166">
        <v>1</v>
      </c>
      <c r="AC166">
        <v>90</v>
      </c>
      <c r="AD166">
        <v>7.5</v>
      </c>
      <c r="AE166">
        <v>0</v>
      </c>
      <c r="AF166">
        <v>0</v>
      </c>
      <c r="AG166">
        <v>1200</v>
      </c>
      <c r="AH166">
        <v>2</v>
      </c>
      <c r="AW166">
        <v>45</v>
      </c>
      <c r="AX166">
        <v>3.75</v>
      </c>
      <c r="AZ166">
        <v>45</v>
      </c>
      <c r="BA166">
        <v>3.75</v>
      </c>
    </row>
    <row r="167" spans="1:60" x14ac:dyDescent="0.3">
      <c r="A167">
        <v>2</v>
      </c>
      <c r="B167" s="4">
        <v>44928</v>
      </c>
      <c r="C167" s="4">
        <v>44995</v>
      </c>
      <c r="D167">
        <v>15</v>
      </c>
      <c r="E167" t="s">
        <v>691</v>
      </c>
      <c r="F167">
        <v>196</v>
      </c>
      <c r="G167" t="s">
        <v>700</v>
      </c>
      <c r="H167" t="s">
        <v>173</v>
      </c>
      <c r="I167" t="s">
        <v>1401</v>
      </c>
      <c r="J167" t="s">
        <v>702</v>
      </c>
      <c r="K167">
        <v>2</v>
      </c>
      <c r="L167">
        <v>1</v>
      </c>
      <c r="M167">
        <v>1</v>
      </c>
      <c r="N167">
        <v>0</v>
      </c>
      <c r="O167">
        <v>1</v>
      </c>
      <c r="P167" t="s">
        <v>69</v>
      </c>
      <c r="Q167">
        <v>2021</v>
      </c>
      <c r="R167" t="s">
        <v>703</v>
      </c>
      <c r="S167" t="s">
        <v>99</v>
      </c>
      <c r="U167">
        <f>shark_tank__1[[#This Row],[Cleaned Yearly Revenue]]/12</f>
        <v>0</v>
      </c>
      <c r="V167">
        <v>80</v>
      </c>
      <c r="X167">
        <v>60</v>
      </c>
      <c r="Y167">
        <v>1</v>
      </c>
      <c r="Z167">
        <v>6000</v>
      </c>
      <c r="AA167">
        <v>1</v>
      </c>
      <c r="AB167">
        <v>1</v>
      </c>
      <c r="AC167">
        <v>60</v>
      </c>
      <c r="AD167">
        <v>6</v>
      </c>
      <c r="AE167">
        <v>0</v>
      </c>
      <c r="AF167">
        <v>0</v>
      </c>
      <c r="AG167">
        <v>1000</v>
      </c>
      <c r="AH167">
        <v>2</v>
      </c>
      <c r="AN167">
        <v>30</v>
      </c>
      <c r="AO167">
        <v>3</v>
      </c>
      <c r="BF167">
        <v>30</v>
      </c>
      <c r="BG167">
        <v>3</v>
      </c>
    </row>
    <row r="168" spans="1:60" x14ac:dyDescent="0.3">
      <c r="A168">
        <v>2</v>
      </c>
      <c r="B168" s="4">
        <v>44928</v>
      </c>
      <c r="C168" s="4">
        <v>44995</v>
      </c>
      <c r="D168">
        <v>16</v>
      </c>
      <c r="E168" t="s">
        <v>704</v>
      </c>
      <c r="F168">
        <v>197</v>
      </c>
      <c r="G168" t="s">
        <v>1402</v>
      </c>
      <c r="H168" t="s">
        <v>66</v>
      </c>
      <c r="I168" t="s">
        <v>1403</v>
      </c>
      <c r="J168" t="s">
        <v>707</v>
      </c>
      <c r="K168">
        <v>3</v>
      </c>
      <c r="L168">
        <v>3</v>
      </c>
      <c r="M168">
        <v>0</v>
      </c>
      <c r="N168">
        <v>0</v>
      </c>
      <c r="O168">
        <v>0</v>
      </c>
      <c r="P168" t="s">
        <v>69</v>
      </c>
      <c r="Q168">
        <v>2020</v>
      </c>
      <c r="R168" t="s">
        <v>86</v>
      </c>
      <c r="S168" t="s">
        <v>87</v>
      </c>
      <c r="T168">
        <v>-1</v>
      </c>
      <c r="U168">
        <f>shark_tank__1[[#This Row],[Cleaned Yearly Revenue]]/12</f>
        <v>-8.3333333333333329E-2</v>
      </c>
      <c r="X168">
        <v>60</v>
      </c>
      <c r="Y168">
        <v>1.5</v>
      </c>
      <c r="Z168">
        <v>4000</v>
      </c>
      <c r="AA168">
        <v>1</v>
      </c>
      <c r="AB168">
        <v>1</v>
      </c>
      <c r="AC168">
        <v>19</v>
      </c>
      <c r="AD168">
        <v>1</v>
      </c>
      <c r="AE168">
        <v>41</v>
      </c>
      <c r="AF168">
        <v>10</v>
      </c>
      <c r="AG168">
        <v>1900</v>
      </c>
      <c r="AH168">
        <v>1</v>
      </c>
      <c r="AN168">
        <v>19</v>
      </c>
      <c r="AO168">
        <v>1</v>
      </c>
      <c r="AP168">
        <v>41</v>
      </c>
    </row>
    <row r="169" spans="1:60" x14ac:dyDescent="0.3">
      <c r="A169">
        <v>2</v>
      </c>
      <c r="B169" s="4">
        <v>44928</v>
      </c>
      <c r="C169" s="4">
        <v>44995</v>
      </c>
      <c r="D169">
        <v>16</v>
      </c>
      <c r="E169" t="s">
        <v>704</v>
      </c>
      <c r="F169">
        <v>198</v>
      </c>
      <c r="G169" t="s">
        <v>708</v>
      </c>
      <c r="H169" t="s">
        <v>182</v>
      </c>
      <c r="I169" t="s">
        <v>709</v>
      </c>
      <c r="J169" t="s">
        <v>710</v>
      </c>
      <c r="K169">
        <v>2</v>
      </c>
      <c r="L169">
        <v>2</v>
      </c>
      <c r="M169">
        <v>0</v>
      </c>
      <c r="N169">
        <v>0</v>
      </c>
      <c r="O169">
        <v>0</v>
      </c>
      <c r="P169" t="s">
        <v>69</v>
      </c>
      <c r="Q169" t="s">
        <v>1309</v>
      </c>
      <c r="R169" t="s">
        <v>143</v>
      </c>
      <c r="S169" t="s">
        <v>144</v>
      </c>
      <c r="U169">
        <f>shark_tank__1[[#This Row],[Cleaned Yearly Revenue]]/12</f>
        <v>0</v>
      </c>
      <c r="V169">
        <v>37</v>
      </c>
      <c r="X169">
        <v>50</v>
      </c>
      <c r="Y169">
        <v>1</v>
      </c>
      <c r="Z169">
        <v>5000</v>
      </c>
      <c r="AA169">
        <v>1</v>
      </c>
      <c r="AB169">
        <v>1</v>
      </c>
      <c r="AC169">
        <v>50</v>
      </c>
      <c r="AD169">
        <v>2</v>
      </c>
      <c r="AE169">
        <v>0</v>
      </c>
      <c r="AF169">
        <v>0</v>
      </c>
      <c r="AG169">
        <v>2500</v>
      </c>
      <c r="AH169">
        <v>1</v>
      </c>
      <c r="AZ169">
        <v>50</v>
      </c>
      <c r="BA169">
        <v>2</v>
      </c>
    </row>
    <row r="170" spans="1:60" x14ac:dyDescent="0.3">
      <c r="A170">
        <v>2</v>
      </c>
      <c r="B170" s="4">
        <v>44928</v>
      </c>
      <c r="C170" s="4">
        <v>44995</v>
      </c>
      <c r="D170">
        <v>16</v>
      </c>
      <c r="E170" t="s">
        <v>704</v>
      </c>
      <c r="F170">
        <v>199</v>
      </c>
      <c r="G170" t="s">
        <v>711</v>
      </c>
      <c r="H170" t="s">
        <v>286</v>
      </c>
      <c r="I170" t="s">
        <v>1404</v>
      </c>
      <c r="J170" t="s">
        <v>713</v>
      </c>
      <c r="K170">
        <v>4</v>
      </c>
      <c r="L170">
        <v>3</v>
      </c>
      <c r="M170">
        <v>1</v>
      </c>
      <c r="N170">
        <v>0</v>
      </c>
      <c r="O170">
        <v>0</v>
      </c>
      <c r="P170" t="s">
        <v>69</v>
      </c>
      <c r="Q170">
        <v>2020</v>
      </c>
      <c r="R170" t="s">
        <v>190</v>
      </c>
      <c r="S170" t="s">
        <v>191</v>
      </c>
      <c r="T170">
        <v>120</v>
      </c>
      <c r="U170">
        <f>shark_tank__1[[#This Row],[Cleaned Yearly Revenue]]/12</f>
        <v>10</v>
      </c>
      <c r="X170">
        <v>90</v>
      </c>
      <c r="Y170">
        <v>2</v>
      </c>
      <c r="Z170">
        <v>4500</v>
      </c>
      <c r="AA170">
        <v>1</v>
      </c>
      <c r="AB170">
        <v>1</v>
      </c>
      <c r="AC170">
        <v>90</v>
      </c>
      <c r="AD170">
        <v>3</v>
      </c>
      <c r="AE170">
        <v>0</v>
      </c>
      <c r="AF170">
        <v>0</v>
      </c>
      <c r="AG170">
        <v>3000</v>
      </c>
      <c r="AH170">
        <v>2</v>
      </c>
      <c r="AQ170">
        <v>45</v>
      </c>
      <c r="AR170">
        <v>1.5</v>
      </c>
      <c r="AZ170">
        <v>45</v>
      </c>
      <c r="BA170">
        <v>1.5</v>
      </c>
    </row>
    <row r="171" spans="1:60" x14ac:dyDescent="0.3">
      <c r="A171">
        <v>2</v>
      </c>
      <c r="B171" s="4">
        <v>44928</v>
      </c>
      <c r="C171" s="4">
        <v>44995</v>
      </c>
      <c r="D171">
        <v>17</v>
      </c>
      <c r="E171" t="s">
        <v>714</v>
      </c>
      <c r="F171">
        <v>200</v>
      </c>
      <c r="G171" t="s">
        <v>1242</v>
      </c>
      <c r="H171" t="s">
        <v>79</v>
      </c>
      <c r="I171" t="s">
        <v>1405</v>
      </c>
      <c r="J171" t="s">
        <v>717</v>
      </c>
      <c r="K171">
        <v>5</v>
      </c>
      <c r="L171">
        <v>3</v>
      </c>
      <c r="M171">
        <v>2</v>
      </c>
      <c r="N171">
        <v>0</v>
      </c>
      <c r="O171">
        <v>1</v>
      </c>
      <c r="P171" t="s">
        <v>69</v>
      </c>
      <c r="Q171">
        <v>2021</v>
      </c>
      <c r="R171" t="s">
        <v>394</v>
      </c>
      <c r="S171" t="s">
        <v>77</v>
      </c>
      <c r="T171">
        <v>1980</v>
      </c>
      <c r="U171">
        <f>shark_tank__1[[#This Row],[Cleaned Yearly Revenue]]/12</f>
        <v>165</v>
      </c>
      <c r="V171">
        <v>69</v>
      </c>
      <c r="X171">
        <v>280</v>
      </c>
      <c r="Y171">
        <v>0.5</v>
      </c>
      <c r="Z171">
        <v>56000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60" x14ac:dyDescent="0.3">
      <c r="A172">
        <v>2</v>
      </c>
      <c r="B172" s="4">
        <v>44928</v>
      </c>
      <c r="C172" s="4">
        <v>44995</v>
      </c>
      <c r="D172">
        <v>17</v>
      </c>
      <c r="E172" t="s">
        <v>714</v>
      </c>
      <c r="F172">
        <v>201</v>
      </c>
      <c r="G172" t="s">
        <v>1406</v>
      </c>
      <c r="H172" t="s">
        <v>79</v>
      </c>
      <c r="I172" t="s">
        <v>719</v>
      </c>
      <c r="J172" t="s">
        <v>720</v>
      </c>
      <c r="K172">
        <v>2</v>
      </c>
      <c r="L172">
        <v>2</v>
      </c>
      <c r="M172">
        <v>0</v>
      </c>
      <c r="N172">
        <v>0</v>
      </c>
      <c r="O172">
        <v>0</v>
      </c>
      <c r="P172" t="s">
        <v>69</v>
      </c>
      <c r="Q172">
        <v>2017</v>
      </c>
      <c r="R172" t="s">
        <v>70</v>
      </c>
      <c r="S172" t="s">
        <v>70</v>
      </c>
      <c r="T172">
        <v>180</v>
      </c>
      <c r="U172">
        <f>shark_tank__1[[#This Row],[Cleaned Yearly Revenue]]/12</f>
        <v>15</v>
      </c>
      <c r="V172">
        <v>45</v>
      </c>
      <c r="W172">
        <v>21</v>
      </c>
      <c r="X172">
        <v>75</v>
      </c>
      <c r="Y172">
        <v>6</v>
      </c>
      <c r="Z172">
        <v>1250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60" x14ac:dyDescent="0.3">
      <c r="A173">
        <v>2</v>
      </c>
      <c r="B173" s="4">
        <v>44928</v>
      </c>
      <c r="C173" s="4">
        <v>44995</v>
      </c>
      <c r="D173">
        <v>17</v>
      </c>
      <c r="E173" t="s">
        <v>714</v>
      </c>
      <c r="F173">
        <v>202</v>
      </c>
      <c r="G173" t="s">
        <v>1407</v>
      </c>
      <c r="H173" t="s">
        <v>635</v>
      </c>
      <c r="I173" t="s">
        <v>1408</v>
      </c>
      <c r="J173" t="s">
        <v>723</v>
      </c>
      <c r="K173">
        <v>2</v>
      </c>
      <c r="L173">
        <v>0</v>
      </c>
      <c r="M173">
        <v>2</v>
      </c>
      <c r="N173">
        <v>0</v>
      </c>
      <c r="O173">
        <v>0</v>
      </c>
      <c r="P173" t="s">
        <v>69</v>
      </c>
      <c r="Q173">
        <v>2019</v>
      </c>
      <c r="R173" t="s">
        <v>724</v>
      </c>
      <c r="S173" t="s">
        <v>196</v>
      </c>
      <c r="T173">
        <v>60</v>
      </c>
      <c r="U173">
        <f>shark_tank__1[[#This Row],[Cleaned Yearly Revenue]]/12</f>
        <v>5</v>
      </c>
      <c r="V173">
        <v>80</v>
      </c>
      <c r="W173">
        <v>28</v>
      </c>
      <c r="X173">
        <v>40</v>
      </c>
      <c r="Y173">
        <v>10</v>
      </c>
      <c r="Z173">
        <v>400</v>
      </c>
      <c r="AA173">
        <v>1</v>
      </c>
      <c r="AB173">
        <v>1</v>
      </c>
      <c r="AC173">
        <v>20</v>
      </c>
      <c r="AD173">
        <v>20</v>
      </c>
      <c r="AE173">
        <v>20</v>
      </c>
      <c r="AF173">
        <v>0</v>
      </c>
      <c r="AG173">
        <v>100</v>
      </c>
      <c r="AH173">
        <v>2</v>
      </c>
      <c r="AZ173">
        <v>10</v>
      </c>
      <c r="BA173">
        <v>10</v>
      </c>
      <c r="BB173">
        <v>10</v>
      </c>
      <c r="BF173">
        <v>10</v>
      </c>
      <c r="BG173">
        <v>10</v>
      </c>
      <c r="BH173">
        <v>10</v>
      </c>
    </row>
    <row r="174" spans="1:60" x14ac:dyDescent="0.3">
      <c r="A174">
        <v>2</v>
      </c>
      <c r="B174" s="4">
        <v>44928</v>
      </c>
      <c r="C174" s="4">
        <v>44995</v>
      </c>
      <c r="D174">
        <v>18</v>
      </c>
      <c r="E174" t="s">
        <v>725</v>
      </c>
      <c r="F174">
        <v>203</v>
      </c>
      <c r="G174" t="s">
        <v>726</v>
      </c>
      <c r="H174" t="s">
        <v>66</v>
      </c>
      <c r="I174" t="s">
        <v>1409</v>
      </c>
      <c r="J174" t="s">
        <v>1309</v>
      </c>
      <c r="K174">
        <v>1</v>
      </c>
      <c r="L174">
        <v>1</v>
      </c>
      <c r="M174">
        <v>0</v>
      </c>
      <c r="N174">
        <v>0</v>
      </c>
      <c r="O174">
        <v>0</v>
      </c>
      <c r="P174" t="s">
        <v>69</v>
      </c>
      <c r="Q174">
        <v>2022</v>
      </c>
      <c r="R174" t="s">
        <v>70</v>
      </c>
      <c r="S174" t="s">
        <v>70</v>
      </c>
      <c r="U174">
        <f>shark_tank__1[[#This Row],[Cleaned Yearly Revenue]]/12</f>
        <v>0</v>
      </c>
      <c r="X174">
        <v>50</v>
      </c>
      <c r="Y174">
        <v>5</v>
      </c>
      <c r="Z174">
        <v>1000</v>
      </c>
      <c r="AA174">
        <v>1</v>
      </c>
      <c r="AB174">
        <v>1</v>
      </c>
      <c r="AC174">
        <v>50</v>
      </c>
      <c r="AD174">
        <v>25</v>
      </c>
      <c r="AE174">
        <v>0</v>
      </c>
      <c r="AF174">
        <v>0</v>
      </c>
      <c r="AG174">
        <v>200</v>
      </c>
      <c r="AH174">
        <v>1</v>
      </c>
      <c r="AQ174">
        <v>50</v>
      </c>
      <c r="AR174">
        <v>25</v>
      </c>
    </row>
    <row r="175" spans="1:60" x14ac:dyDescent="0.3">
      <c r="A175">
        <v>2</v>
      </c>
      <c r="B175" s="4">
        <v>44928</v>
      </c>
      <c r="C175" s="4">
        <v>44995</v>
      </c>
      <c r="D175">
        <v>18</v>
      </c>
      <c r="E175" t="s">
        <v>725</v>
      </c>
      <c r="F175">
        <v>204</v>
      </c>
      <c r="G175" t="s">
        <v>1245</v>
      </c>
      <c r="H175" t="s">
        <v>182</v>
      </c>
      <c r="I175" t="s">
        <v>729</v>
      </c>
      <c r="J175" t="s">
        <v>730</v>
      </c>
      <c r="K175">
        <v>3</v>
      </c>
      <c r="L175">
        <v>3</v>
      </c>
      <c r="M175">
        <v>0</v>
      </c>
      <c r="N175">
        <v>0</v>
      </c>
      <c r="O175">
        <v>0</v>
      </c>
      <c r="P175" t="s">
        <v>69</v>
      </c>
      <c r="Q175">
        <v>2020</v>
      </c>
      <c r="R175" t="s">
        <v>190</v>
      </c>
      <c r="S175" t="s">
        <v>191</v>
      </c>
      <c r="T175">
        <v>470</v>
      </c>
      <c r="U175">
        <f>shark_tank__1[[#This Row],[Cleaned Yearly Revenue]]/12</f>
        <v>39.166666666666664</v>
      </c>
      <c r="X175">
        <v>100</v>
      </c>
      <c r="Y175">
        <v>1</v>
      </c>
      <c r="Z175">
        <v>10000</v>
      </c>
      <c r="AA175">
        <v>1</v>
      </c>
      <c r="AB175">
        <v>1</v>
      </c>
      <c r="AC175">
        <v>100</v>
      </c>
      <c r="AD175">
        <v>1</v>
      </c>
      <c r="AE175">
        <v>0</v>
      </c>
      <c r="AF175">
        <v>0</v>
      </c>
      <c r="AG175">
        <v>10000</v>
      </c>
      <c r="AH175">
        <v>1</v>
      </c>
      <c r="AZ175">
        <v>100</v>
      </c>
      <c r="BA175">
        <v>1</v>
      </c>
    </row>
    <row r="176" spans="1:60" x14ac:dyDescent="0.3">
      <c r="A176">
        <v>2</v>
      </c>
      <c r="B176" s="4">
        <v>44928</v>
      </c>
      <c r="C176" s="4">
        <v>44995</v>
      </c>
      <c r="D176">
        <v>18</v>
      </c>
      <c r="E176" t="s">
        <v>725</v>
      </c>
      <c r="F176">
        <v>205</v>
      </c>
      <c r="G176" t="s">
        <v>1491</v>
      </c>
      <c r="H176" t="s">
        <v>66</v>
      </c>
      <c r="I176" t="s">
        <v>1410</v>
      </c>
      <c r="J176" t="s">
        <v>733</v>
      </c>
      <c r="K176">
        <v>2</v>
      </c>
      <c r="L176">
        <v>1</v>
      </c>
      <c r="M176">
        <v>1</v>
      </c>
      <c r="N176">
        <v>0</v>
      </c>
      <c r="O176">
        <v>1</v>
      </c>
      <c r="P176" t="s">
        <v>69</v>
      </c>
      <c r="Q176" t="s">
        <v>1309</v>
      </c>
      <c r="R176" t="s">
        <v>138</v>
      </c>
      <c r="S176" t="s">
        <v>99</v>
      </c>
      <c r="T176">
        <v>86</v>
      </c>
      <c r="U176">
        <f>shark_tank__1[[#This Row],[Cleaned Yearly Revenue]]/12</f>
        <v>7.166666666666667</v>
      </c>
      <c r="X176">
        <v>50</v>
      </c>
      <c r="Y176">
        <v>5</v>
      </c>
      <c r="Z176">
        <v>1000</v>
      </c>
      <c r="AA176">
        <v>1</v>
      </c>
      <c r="AB176">
        <v>1</v>
      </c>
      <c r="AC176">
        <v>25</v>
      </c>
      <c r="AD176">
        <v>5</v>
      </c>
      <c r="AE176">
        <v>25</v>
      </c>
      <c r="AF176">
        <v>0</v>
      </c>
      <c r="AG176">
        <v>500</v>
      </c>
      <c r="AH176">
        <v>1</v>
      </c>
      <c r="BF176">
        <v>25</v>
      </c>
      <c r="BG176">
        <v>5</v>
      </c>
      <c r="BH176">
        <v>25</v>
      </c>
    </row>
    <row r="177" spans="1:53" x14ac:dyDescent="0.3">
      <c r="A177">
        <v>2</v>
      </c>
      <c r="B177" s="4">
        <v>44928</v>
      </c>
      <c r="C177" s="4">
        <v>44995</v>
      </c>
      <c r="D177">
        <v>18</v>
      </c>
      <c r="E177" t="s">
        <v>725</v>
      </c>
      <c r="F177">
        <v>206</v>
      </c>
      <c r="G177" t="s">
        <v>734</v>
      </c>
      <c r="H177" t="s">
        <v>79</v>
      </c>
      <c r="I177" t="s">
        <v>735</v>
      </c>
      <c r="J177" t="s">
        <v>1309</v>
      </c>
      <c r="K177">
        <v>1</v>
      </c>
      <c r="L177">
        <v>1</v>
      </c>
      <c r="M177">
        <v>0</v>
      </c>
      <c r="N177">
        <v>0</v>
      </c>
      <c r="O177">
        <v>0</v>
      </c>
      <c r="P177" t="s">
        <v>69</v>
      </c>
      <c r="Q177" t="s">
        <v>1309</v>
      </c>
      <c r="R177" t="s">
        <v>185</v>
      </c>
      <c r="S177" t="s">
        <v>186</v>
      </c>
      <c r="T177">
        <v>0</v>
      </c>
      <c r="U177">
        <f>shark_tank__1[[#This Row],[Cleaned Yearly Revenue]]/12</f>
        <v>0</v>
      </c>
      <c r="X177">
        <v>100</v>
      </c>
      <c r="Y177">
        <v>1</v>
      </c>
      <c r="Z177">
        <v>10000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J177">
        <v>1</v>
      </c>
    </row>
    <row r="178" spans="1:53" x14ac:dyDescent="0.3">
      <c r="A178">
        <v>2</v>
      </c>
      <c r="B178" s="4">
        <v>44928</v>
      </c>
      <c r="C178" s="4">
        <v>44995</v>
      </c>
      <c r="D178">
        <v>19</v>
      </c>
      <c r="E178" t="s">
        <v>736</v>
      </c>
      <c r="F178">
        <v>207</v>
      </c>
      <c r="G178" t="s">
        <v>1411</v>
      </c>
      <c r="H178" t="s">
        <v>72</v>
      </c>
      <c r="I178" t="s">
        <v>738</v>
      </c>
      <c r="J178" t="s">
        <v>739</v>
      </c>
      <c r="K178">
        <v>1</v>
      </c>
      <c r="L178">
        <v>1</v>
      </c>
      <c r="M178">
        <v>0</v>
      </c>
      <c r="N178">
        <v>0</v>
      </c>
      <c r="O178">
        <v>0</v>
      </c>
      <c r="P178" t="s">
        <v>69</v>
      </c>
      <c r="Q178">
        <v>2018</v>
      </c>
      <c r="R178" t="s">
        <v>134</v>
      </c>
      <c r="S178" t="s">
        <v>99</v>
      </c>
      <c r="T178">
        <v>0</v>
      </c>
      <c r="U178">
        <f>shark_tank__1[[#This Row],[Cleaned Yearly Revenue]]/12</f>
        <v>0</v>
      </c>
      <c r="X178">
        <v>100</v>
      </c>
      <c r="Y178">
        <v>1</v>
      </c>
      <c r="Z178">
        <v>10000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53" x14ac:dyDescent="0.3">
      <c r="A179">
        <v>2</v>
      </c>
      <c r="B179" s="4">
        <v>44928</v>
      </c>
      <c r="C179" s="4">
        <v>44995</v>
      </c>
      <c r="D179">
        <v>19</v>
      </c>
      <c r="E179" t="s">
        <v>736</v>
      </c>
      <c r="F179">
        <v>208</v>
      </c>
      <c r="G179" t="s">
        <v>1247</v>
      </c>
      <c r="H179" t="s">
        <v>66</v>
      </c>
      <c r="I179" t="s">
        <v>741</v>
      </c>
      <c r="J179" t="s">
        <v>742</v>
      </c>
      <c r="K179">
        <v>3</v>
      </c>
      <c r="L179">
        <v>2</v>
      </c>
      <c r="M179">
        <v>1</v>
      </c>
      <c r="N179">
        <v>0</v>
      </c>
      <c r="O179">
        <v>0</v>
      </c>
      <c r="P179" t="s">
        <v>69</v>
      </c>
      <c r="Q179">
        <v>2019</v>
      </c>
      <c r="R179" t="s">
        <v>134</v>
      </c>
      <c r="S179" t="s">
        <v>99</v>
      </c>
      <c r="T179">
        <v>410</v>
      </c>
      <c r="U179">
        <f>shark_tank__1[[#This Row],[Cleaned Yearly Revenue]]/12</f>
        <v>34.166666666666664</v>
      </c>
      <c r="X179">
        <v>70</v>
      </c>
      <c r="Y179">
        <v>2</v>
      </c>
      <c r="Z179">
        <v>3500</v>
      </c>
      <c r="AA179">
        <v>1</v>
      </c>
      <c r="AB179">
        <v>1</v>
      </c>
      <c r="AC179">
        <v>70</v>
      </c>
      <c r="AD179">
        <v>5</v>
      </c>
      <c r="AE179">
        <v>0</v>
      </c>
      <c r="AF179">
        <v>0</v>
      </c>
      <c r="AG179">
        <v>1400</v>
      </c>
      <c r="AH179">
        <v>1</v>
      </c>
      <c r="AN179">
        <v>70</v>
      </c>
      <c r="AO179">
        <v>5</v>
      </c>
    </row>
    <row r="180" spans="1:53" x14ac:dyDescent="0.3">
      <c r="A180">
        <v>2</v>
      </c>
      <c r="B180" s="4">
        <v>44928</v>
      </c>
      <c r="C180" s="4">
        <v>44995</v>
      </c>
      <c r="D180">
        <v>19</v>
      </c>
      <c r="E180" t="s">
        <v>736</v>
      </c>
      <c r="F180">
        <v>209</v>
      </c>
      <c r="G180" t="s">
        <v>743</v>
      </c>
      <c r="H180" t="s">
        <v>225</v>
      </c>
      <c r="I180" t="s">
        <v>1412</v>
      </c>
      <c r="J180" t="s">
        <v>745</v>
      </c>
      <c r="K180">
        <v>3</v>
      </c>
      <c r="L180">
        <v>3</v>
      </c>
      <c r="M180">
        <v>0</v>
      </c>
      <c r="N180">
        <v>0</v>
      </c>
      <c r="O180">
        <v>0</v>
      </c>
      <c r="P180" t="s">
        <v>69</v>
      </c>
      <c r="Q180" t="s">
        <v>1309</v>
      </c>
      <c r="R180" t="s">
        <v>76</v>
      </c>
      <c r="S180" t="s">
        <v>77</v>
      </c>
      <c r="T180">
        <v>-1</v>
      </c>
      <c r="U180">
        <f>shark_tank__1[[#This Row],[Cleaned Yearly Revenue]]/12</f>
        <v>-8.3333333333333329E-2</v>
      </c>
      <c r="X180">
        <v>75</v>
      </c>
      <c r="Y180">
        <v>1.5</v>
      </c>
      <c r="Z180">
        <v>5000</v>
      </c>
      <c r="AA180">
        <v>1</v>
      </c>
      <c r="AB180">
        <v>1</v>
      </c>
      <c r="AC180">
        <v>75</v>
      </c>
      <c r="AD180">
        <v>2.86</v>
      </c>
      <c r="AE180">
        <v>0</v>
      </c>
      <c r="AF180">
        <v>0</v>
      </c>
      <c r="AG180">
        <v>2622.377622</v>
      </c>
      <c r="AH180">
        <v>2</v>
      </c>
      <c r="AW180">
        <v>37.5</v>
      </c>
      <c r="AX180">
        <v>1.43</v>
      </c>
      <c r="AZ180">
        <v>37.5</v>
      </c>
      <c r="BA180">
        <v>1.43</v>
      </c>
    </row>
    <row r="181" spans="1:53" x14ac:dyDescent="0.3">
      <c r="A181">
        <v>2</v>
      </c>
      <c r="B181" s="4">
        <v>44928</v>
      </c>
      <c r="C181" s="4">
        <v>44995</v>
      </c>
      <c r="D181">
        <v>20</v>
      </c>
      <c r="E181" t="s">
        <v>746</v>
      </c>
      <c r="F181">
        <v>210</v>
      </c>
      <c r="G181" t="s">
        <v>747</v>
      </c>
      <c r="H181" t="s">
        <v>79</v>
      </c>
      <c r="I181" t="s">
        <v>748</v>
      </c>
      <c r="J181" t="s">
        <v>749</v>
      </c>
      <c r="K181">
        <v>1</v>
      </c>
      <c r="L181">
        <v>1</v>
      </c>
      <c r="M181">
        <v>0</v>
      </c>
      <c r="N181">
        <v>0</v>
      </c>
      <c r="O181">
        <v>0</v>
      </c>
      <c r="P181" t="s">
        <v>69</v>
      </c>
      <c r="Q181">
        <v>2020</v>
      </c>
      <c r="R181" t="s">
        <v>86</v>
      </c>
      <c r="S181" t="s">
        <v>87</v>
      </c>
      <c r="U181">
        <f>shark_tank__1[[#This Row],[Cleaned Yearly Revenue]]/12</f>
        <v>0</v>
      </c>
      <c r="X181">
        <v>150</v>
      </c>
      <c r="Y181">
        <v>0.5</v>
      </c>
      <c r="Z181">
        <v>30000</v>
      </c>
      <c r="AA181">
        <v>1</v>
      </c>
      <c r="AB181">
        <v>1</v>
      </c>
      <c r="AC181">
        <v>150</v>
      </c>
      <c r="AD181">
        <v>1.5</v>
      </c>
      <c r="AE181">
        <v>0</v>
      </c>
      <c r="AF181">
        <v>0</v>
      </c>
      <c r="AG181">
        <v>10000</v>
      </c>
      <c r="AH181">
        <v>5</v>
      </c>
      <c r="AN181">
        <v>30</v>
      </c>
      <c r="AO181">
        <v>0.3</v>
      </c>
      <c r="AQ181">
        <v>30</v>
      </c>
      <c r="AR181">
        <v>0.3</v>
      </c>
      <c r="AT181">
        <v>30</v>
      </c>
      <c r="AU181">
        <v>0.3</v>
      </c>
      <c r="AW181">
        <v>30</v>
      </c>
      <c r="AX181">
        <v>0.3</v>
      </c>
      <c r="AZ181">
        <v>30</v>
      </c>
      <c r="BA181">
        <v>0.3</v>
      </c>
    </row>
    <row r="182" spans="1:53" x14ac:dyDescent="0.3">
      <c r="A182">
        <v>2</v>
      </c>
      <c r="B182" s="4">
        <v>44928</v>
      </c>
      <c r="C182" s="4">
        <v>44995</v>
      </c>
      <c r="D182">
        <v>20</v>
      </c>
      <c r="E182" t="s">
        <v>746</v>
      </c>
      <c r="F182">
        <v>211</v>
      </c>
      <c r="G182" t="s">
        <v>750</v>
      </c>
      <c r="H182" t="s">
        <v>286</v>
      </c>
      <c r="I182" t="s">
        <v>1413</v>
      </c>
      <c r="J182" t="s">
        <v>752</v>
      </c>
      <c r="K182">
        <v>3</v>
      </c>
      <c r="L182">
        <v>3</v>
      </c>
      <c r="M182">
        <v>0</v>
      </c>
      <c r="N182">
        <v>0</v>
      </c>
      <c r="O182">
        <v>0</v>
      </c>
      <c r="P182" t="s">
        <v>69</v>
      </c>
      <c r="Q182" t="s">
        <v>1309</v>
      </c>
      <c r="R182" t="s">
        <v>143</v>
      </c>
      <c r="S182" t="s">
        <v>144</v>
      </c>
      <c r="U182">
        <f>shark_tank__1[[#This Row],[Cleaned Yearly Revenue]]/12</f>
        <v>0</v>
      </c>
      <c r="V182">
        <v>45</v>
      </c>
      <c r="X182">
        <v>150</v>
      </c>
      <c r="Y182">
        <v>1</v>
      </c>
      <c r="Z182">
        <v>15000</v>
      </c>
      <c r="AA182">
        <v>1</v>
      </c>
      <c r="AB182">
        <v>1</v>
      </c>
      <c r="AC182">
        <v>150</v>
      </c>
      <c r="AD182">
        <v>2.5</v>
      </c>
      <c r="AE182">
        <v>0</v>
      </c>
      <c r="AF182">
        <v>0</v>
      </c>
      <c r="AG182">
        <v>6000</v>
      </c>
      <c r="AH182">
        <v>3</v>
      </c>
      <c r="AN182">
        <v>50</v>
      </c>
      <c r="AO182">
        <v>0.83299999999999996</v>
      </c>
      <c r="AW182">
        <v>50</v>
      </c>
      <c r="AX182">
        <v>0.83299999999999996</v>
      </c>
      <c r="AZ182">
        <v>50</v>
      </c>
      <c r="BA182">
        <v>0.83299999999999996</v>
      </c>
    </row>
    <row r="183" spans="1:53" x14ac:dyDescent="0.3">
      <c r="A183">
        <v>2</v>
      </c>
      <c r="B183" s="4">
        <v>44928</v>
      </c>
      <c r="C183" s="4">
        <v>44995</v>
      </c>
      <c r="D183">
        <v>20</v>
      </c>
      <c r="E183" t="s">
        <v>746</v>
      </c>
      <c r="F183">
        <v>212</v>
      </c>
      <c r="G183" t="s">
        <v>1248</v>
      </c>
      <c r="H183" t="s">
        <v>79</v>
      </c>
      <c r="I183" t="s">
        <v>754</v>
      </c>
      <c r="J183" t="s">
        <v>755</v>
      </c>
      <c r="K183">
        <v>1</v>
      </c>
      <c r="L183">
        <v>0</v>
      </c>
      <c r="M183">
        <v>1</v>
      </c>
      <c r="N183">
        <v>0</v>
      </c>
      <c r="O183">
        <v>0</v>
      </c>
      <c r="P183" t="s">
        <v>69</v>
      </c>
      <c r="Q183" t="s">
        <v>1309</v>
      </c>
      <c r="R183" t="s">
        <v>86</v>
      </c>
      <c r="S183" t="s">
        <v>87</v>
      </c>
      <c r="T183">
        <v>168</v>
      </c>
      <c r="U183">
        <f>shark_tank__1[[#This Row],[Cleaned Yearly Revenue]]/12</f>
        <v>14</v>
      </c>
      <c r="X183">
        <v>20</v>
      </c>
      <c r="Y183">
        <v>1</v>
      </c>
      <c r="Z183">
        <v>2000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53" x14ac:dyDescent="0.3">
      <c r="A184">
        <v>2</v>
      </c>
      <c r="B184" s="4">
        <v>44928</v>
      </c>
      <c r="C184" s="4">
        <v>44995</v>
      </c>
      <c r="D184">
        <v>21</v>
      </c>
      <c r="E184" t="s">
        <v>756</v>
      </c>
      <c r="F184">
        <v>213</v>
      </c>
      <c r="G184" t="s">
        <v>1249</v>
      </c>
      <c r="H184" t="s">
        <v>66</v>
      </c>
      <c r="I184" t="s">
        <v>758</v>
      </c>
      <c r="J184" t="s">
        <v>759</v>
      </c>
      <c r="K184">
        <v>2</v>
      </c>
      <c r="L184">
        <v>1</v>
      </c>
      <c r="M184">
        <v>1</v>
      </c>
      <c r="N184">
        <v>0</v>
      </c>
      <c r="O184">
        <v>1</v>
      </c>
      <c r="P184" t="s">
        <v>69</v>
      </c>
      <c r="Q184">
        <v>2018</v>
      </c>
      <c r="R184" t="s">
        <v>70</v>
      </c>
      <c r="S184" t="s">
        <v>70</v>
      </c>
      <c r="T184">
        <v>2328</v>
      </c>
      <c r="U184">
        <f>shark_tank__1[[#This Row],[Cleaned Yearly Revenue]]/12</f>
        <v>194</v>
      </c>
      <c r="X184">
        <v>100</v>
      </c>
      <c r="Y184">
        <v>2</v>
      </c>
      <c r="Z184">
        <v>5000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53" x14ac:dyDescent="0.3">
      <c r="A185">
        <v>2</v>
      </c>
      <c r="B185" s="4">
        <v>44928</v>
      </c>
      <c r="C185" s="4">
        <v>44995</v>
      </c>
      <c r="D185">
        <v>21</v>
      </c>
      <c r="E185" t="s">
        <v>756</v>
      </c>
      <c r="F185">
        <v>214</v>
      </c>
      <c r="G185" t="s">
        <v>760</v>
      </c>
      <c r="H185" t="s">
        <v>182</v>
      </c>
      <c r="I185" t="s">
        <v>761</v>
      </c>
      <c r="J185" t="s">
        <v>762</v>
      </c>
      <c r="K185">
        <v>2</v>
      </c>
      <c r="L185">
        <v>0</v>
      </c>
      <c r="M185">
        <v>2</v>
      </c>
      <c r="N185">
        <v>0</v>
      </c>
      <c r="O185">
        <v>0</v>
      </c>
      <c r="P185" t="s">
        <v>69</v>
      </c>
      <c r="Q185" t="s">
        <v>1309</v>
      </c>
      <c r="R185" t="s">
        <v>86</v>
      </c>
      <c r="S185" t="s">
        <v>87</v>
      </c>
      <c r="T185">
        <v>33</v>
      </c>
      <c r="U185">
        <f>shark_tank__1[[#This Row],[Cleaned Yearly Revenue]]/12</f>
        <v>2.75</v>
      </c>
      <c r="V185">
        <v>75</v>
      </c>
      <c r="X185">
        <v>50</v>
      </c>
      <c r="Y185">
        <v>10</v>
      </c>
      <c r="Z185">
        <v>500</v>
      </c>
      <c r="AA185">
        <v>1</v>
      </c>
      <c r="AB185">
        <v>1</v>
      </c>
      <c r="AC185">
        <v>15</v>
      </c>
      <c r="AD185">
        <v>10</v>
      </c>
      <c r="AE185">
        <v>35</v>
      </c>
      <c r="AF185">
        <v>0</v>
      </c>
      <c r="AG185">
        <v>150</v>
      </c>
      <c r="AH185">
        <v>1</v>
      </c>
      <c r="AW185">
        <v>15</v>
      </c>
      <c r="AX185">
        <v>10</v>
      </c>
      <c r="AY185">
        <v>35</v>
      </c>
    </row>
    <row r="186" spans="1:53" x14ac:dyDescent="0.3">
      <c r="A186">
        <v>2</v>
      </c>
      <c r="B186" s="4">
        <v>44928</v>
      </c>
      <c r="C186" s="4">
        <v>44995</v>
      </c>
      <c r="D186">
        <v>21</v>
      </c>
      <c r="E186" t="s">
        <v>756</v>
      </c>
      <c r="F186">
        <v>215</v>
      </c>
      <c r="G186" t="s">
        <v>1250</v>
      </c>
      <c r="H186" t="s">
        <v>286</v>
      </c>
      <c r="I186" t="s">
        <v>1414</v>
      </c>
      <c r="J186" t="s">
        <v>765</v>
      </c>
      <c r="K186">
        <v>3</v>
      </c>
      <c r="L186">
        <v>2</v>
      </c>
      <c r="M186">
        <v>1</v>
      </c>
      <c r="N186">
        <v>0</v>
      </c>
      <c r="O186">
        <v>1</v>
      </c>
      <c r="P186" t="s">
        <v>69</v>
      </c>
      <c r="Q186" t="s">
        <v>1309</v>
      </c>
      <c r="R186" t="s">
        <v>766</v>
      </c>
      <c r="S186" t="s">
        <v>767</v>
      </c>
      <c r="T186">
        <v>-1</v>
      </c>
      <c r="U186">
        <f>shark_tank__1[[#This Row],[Cleaned Yearly Revenue]]/12</f>
        <v>-8.3333333333333329E-2</v>
      </c>
      <c r="X186">
        <v>100</v>
      </c>
      <c r="Y186">
        <v>1.4</v>
      </c>
      <c r="Z186">
        <v>7142.86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53" x14ac:dyDescent="0.3">
      <c r="A187">
        <v>2</v>
      </c>
      <c r="B187" s="4">
        <v>44928</v>
      </c>
      <c r="C187" s="4">
        <v>44995</v>
      </c>
      <c r="D187">
        <v>21</v>
      </c>
      <c r="E187" t="s">
        <v>756</v>
      </c>
      <c r="F187">
        <v>216</v>
      </c>
      <c r="G187" t="s">
        <v>1251</v>
      </c>
      <c r="H187" t="s">
        <v>286</v>
      </c>
      <c r="I187" t="s">
        <v>1415</v>
      </c>
      <c r="J187" t="s">
        <v>770</v>
      </c>
      <c r="K187">
        <v>3</v>
      </c>
      <c r="L187">
        <v>1</v>
      </c>
      <c r="M187">
        <v>1</v>
      </c>
      <c r="N187">
        <v>1</v>
      </c>
      <c r="O187">
        <v>0</v>
      </c>
      <c r="P187" t="s">
        <v>69</v>
      </c>
      <c r="Q187" t="s">
        <v>1309</v>
      </c>
      <c r="R187" t="s">
        <v>417</v>
      </c>
      <c r="S187" t="s">
        <v>345</v>
      </c>
      <c r="T187">
        <v>50</v>
      </c>
      <c r="U187">
        <f>shark_tank__1[[#This Row],[Cleaned Yearly Revenue]]/12</f>
        <v>4.166666666666667</v>
      </c>
      <c r="X187">
        <v>100</v>
      </c>
      <c r="Y187">
        <v>10</v>
      </c>
      <c r="Z187">
        <v>1000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53" x14ac:dyDescent="0.3">
      <c r="A188">
        <v>2</v>
      </c>
      <c r="B188" s="4">
        <v>44928</v>
      </c>
      <c r="C188" s="4">
        <v>44995</v>
      </c>
      <c r="D188">
        <v>22</v>
      </c>
      <c r="E188" t="s">
        <v>771</v>
      </c>
      <c r="F188">
        <v>217</v>
      </c>
      <c r="G188" t="s">
        <v>772</v>
      </c>
      <c r="H188" t="s">
        <v>286</v>
      </c>
      <c r="I188" t="s">
        <v>1416</v>
      </c>
      <c r="J188" t="s">
        <v>774</v>
      </c>
      <c r="K188">
        <v>3</v>
      </c>
      <c r="L188">
        <v>2</v>
      </c>
      <c r="M188">
        <v>1</v>
      </c>
      <c r="N188">
        <v>0</v>
      </c>
      <c r="O188">
        <v>0</v>
      </c>
      <c r="P188" t="s">
        <v>69</v>
      </c>
      <c r="Q188" t="s">
        <v>1309</v>
      </c>
      <c r="R188" t="s">
        <v>70</v>
      </c>
      <c r="S188" t="s">
        <v>70</v>
      </c>
      <c r="U188">
        <f>shark_tank__1[[#This Row],[Cleaned Yearly Revenue]]/12</f>
        <v>0</v>
      </c>
      <c r="X188">
        <v>80</v>
      </c>
      <c r="Y188">
        <v>2</v>
      </c>
      <c r="Z188">
        <v>4000</v>
      </c>
      <c r="AA188">
        <v>1</v>
      </c>
      <c r="AB188">
        <v>1</v>
      </c>
      <c r="AC188">
        <v>100</v>
      </c>
      <c r="AD188">
        <v>3</v>
      </c>
      <c r="AE188">
        <v>0</v>
      </c>
      <c r="AF188">
        <v>0</v>
      </c>
      <c r="AG188">
        <v>3333.333333</v>
      </c>
      <c r="AH188">
        <v>3</v>
      </c>
      <c r="AN188">
        <v>33.33</v>
      </c>
      <c r="AO188">
        <v>1</v>
      </c>
      <c r="AW188">
        <v>33.33</v>
      </c>
      <c r="AX188">
        <v>1</v>
      </c>
      <c r="AZ188">
        <v>33.33</v>
      </c>
      <c r="BA188">
        <v>1</v>
      </c>
    </row>
    <row r="189" spans="1:53" x14ac:dyDescent="0.3">
      <c r="A189">
        <v>2</v>
      </c>
      <c r="B189" s="4">
        <v>44928</v>
      </c>
      <c r="C189" s="4">
        <v>44995</v>
      </c>
      <c r="D189">
        <v>22</v>
      </c>
      <c r="E189" t="s">
        <v>771</v>
      </c>
      <c r="F189">
        <v>218</v>
      </c>
      <c r="G189" t="s">
        <v>775</v>
      </c>
      <c r="H189" t="s">
        <v>79</v>
      </c>
      <c r="I189" t="s">
        <v>776</v>
      </c>
      <c r="J189" t="s">
        <v>777</v>
      </c>
      <c r="K189">
        <v>1</v>
      </c>
      <c r="L189">
        <v>1</v>
      </c>
      <c r="M189">
        <v>0</v>
      </c>
      <c r="N189">
        <v>0</v>
      </c>
      <c r="O189">
        <v>0</v>
      </c>
      <c r="P189" t="s">
        <v>69</v>
      </c>
      <c r="Q189">
        <v>2021</v>
      </c>
      <c r="R189" t="s">
        <v>690</v>
      </c>
      <c r="S189" t="s">
        <v>99</v>
      </c>
      <c r="T189">
        <v>480</v>
      </c>
      <c r="U189">
        <f>shark_tank__1[[#This Row],[Cleaned Yearly Revenue]]/12</f>
        <v>40</v>
      </c>
      <c r="X189">
        <v>75</v>
      </c>
      <c r="Y189">
        <v>2.5</v>
      </c>
      <c r="Z189">
        <v>3000</v>
      </c>
      <c r="AA189">
        <v>1</v>
      </c>
      <c r="AB189">
        <v>1</v>
      </c>
      <c r="AC189">
        <v>75</v>
      </c>
      <c r="AD189">
        <v>10</v>
      </c>
      <c r="AE189">
        <v>0</v>
      </c>
      <c r="AF189">
        <v>0</v>
      </c>
      <c r="AG189">
        <v>750</v>
      </c>
      <c r="AH189">
        <v>1</v>
      </c>
      <c r="AQ189">
        <v>75</v>
      </c>
      <c r="AR189">
        <v>10</v>
      </c>
    </row>
    <row r="190" spans="1:53" x14ac:dyDescent="0.3">
      <c r="A190">
        <v>2</v>
      </c>
      <c r="B190" s="4">
        <v>44928</v>
      </c>
      <c r="C190" s="4">
        <v>44995</v>
      </c>
      <c r="D190">
        <v>22</v>
      </c>
      <c r="E190" t="s">
        <v>771</v>
      </c>
      <c r="F190">
        <v>219</v>
      </c>
      <c r="G190" t="s">
        <v>1252</v>
      </c>
      <c r="H190" t="s">
        <v>66</v>
      </c>
      <c r="I190" t="s">
        <v>1417</v>
      </c>
      <c r="J190" t="s">
        <v>780</v>
      </c>
      <c r="K190">
        <v>2</v>
      </c>
      <c r="L190">
        <v>2</v>
      </c>
      <c r="M190">
        <v>0</v>
      </c>
      <c r="N190">
        <v>0</v>
      </c>
      <c r="O190">
        <v>0</v>
      </c>
      <c r="P190" t="s">
        <v>69</v>
      </c>
      <c r="Q190" t="s">
        <v>1309</v>
      </c>
      <c r="R190" t="s">
        <v>76</v>
      </c>
      <c r="S190" t="s">
        <v>77</v>
      </c>
      <c r="T190">
        <v>53</v>
      </c>
      <c r="U190">
        <f>shark_tank__1[[#This Row],[Cleaned Yearly Revenue]]/12</f>
        <v>4.416666666666667</v>
      </c>
      <c r="V190">
        <v>20</v>
      </c>
      <c r="X190">
        <v>75</v>
      </c>
      <c r="Y190">
        <v>7.5</v>
      </c>
      <c r="Z190">
        <v>1000</v>
      </c>
      <c r="AA190">
        <v>1</v>
      </c>
      <c r="AB190">
        <v>1</v>
      </c>
      <c r="AC190">
        <v>50</v>
      </c>
      <c r="AD190">
        <v>20</v>
      </c>
      <c r="AE190">
        <v>25</v>
      </c>
      <c r="AF190">
        <v>12</v>
      </c>
      <c r="AG190">
        <v>250</v>
      </c>
      <c r="AH190">
        <v>2</v>
      </c>
      <c r="AQ190">
        <v>25</v>
      </c>
      <c r="AR190">
        <v>10</v>
      </c>
      <c r="AS190">
        <v>12.5</v>
      </c>
      <c r="AT190">
        <v>25</v>
      </c>
      <c r="AU190">
        <v>10</v>
      </c>
      <c r="AV190">
        <v>12.5</v>
      </c>
    </row>
    <row r="191" spans="1:53" x14ac:dyDescent="0.3">
      <c r="A191">
        <v>2</v>
      </c>
      <c r="B191" s="4">
        <v>44928</v>
      </c>
      <c r="C191" s="4">
        <v>44995</v>
      </c>
      <c r="D191">
        <v>23</v>
      </c>
      <c r="E191" t="s">
        <v>781</v>
      </c>
      <c r="F191">
        <v>220</v>
      </c>
      <c r="G191" t="s">
        <v>1253</v>
      </c>
      <c r="H191" t="s">
        <v>182</v>
      </c>
      <c r="I191" t="s">
        <v>1418</v>
      </c>
      <c r="J191" t="s">
        <v>784</v>
      </c>
      <c r="K191">
        <v>1</v>
      </c>
      <c r="L191">
        <v>1</v>
      </c>
      <c r="M191">
        <v>0</v>
      </c>
      <c r="N191">
        <v>0</v>
      </c>
      <c r="O191">
        <v>0</v>
      </c>
      <c r="P191" t="s">
        <v>75</v>
      </c>
      <c r="Q191" t="s">
        <v>1309</v>
      </c>
      <c r="R191" t="s">
        <v>165</v>
      </c>
      <c r="S191" t="s">
        <v>99</v>
      </c>
      <c r="T191">
        <v>-1</v>
      </c>
      <c r="U191">
        <f>shark_tank__1[[#This Row],[Cleaned Yearly Revenue]]/12</f>
        <v>-8.3333333333333329E-2</v>
      </c>
      <c r="X191">
        <v>50</v>
      </c>
      <c r="Y191">
        <v>2</v>
      </c>
      <c r="Z191">
        <v>2500</v>
      </c>
      <c r="AA191">
        <v>1</v>
      </c>
      <c r="AB191">
        <v>1</v>
      </c>
      <c r="AC191">
        <v>100</v>
      </c>
      <c r="AD191">
        <v>4</v>
      </c>
      <c r="AE191">
        <v>0</v>
      </c>
      <c r="AF191">
        <v>0</v>
      </c>
      <c r="AG191">
        <v>2500</v>
      </c>
      <c r="AH191">
        <v>4</v>
      </c>
      <c r="AN191">
        <v>25</v>
      </c>
      <c r="AO191">
        <v>1</v>
      </c>
      <c r="AQ191">
        <v>25</v>
      </c>
      <c r="AR191">
        <v>1</v>
      </c>
      <c r="AT191">
        <v>25</v>
      </c>
      <c r="AU191">
        <v>1</v>
      </c>
      <c r="AZ191">
        <v>25</v>
      </c>
      <c r="BA191">
        <v>1</v>
      </c>
    </row>
    <row r="192" spans="1:53" x14ac:dyDescent="0.3">
      <c r="A192">
        <v>2</v>
      </c>
      <c r="B192" s="4">
        <v>44928</v>
      </c>
      <c r="C192" s="4">
        <v>44995</v>
      </c>
      <c r="D192">
        <v>23</v>
      </c>
      <c r="E192" t="s">
        <v>781</v>
      </c>
      <c r="F192">
        <v>221</v>
      </c>
      <c r="G192" t="s">
        <v>1254</v>
      </c>
      <c r="H192" t="s">
        <v>635</v>
      </c>
      <c r="I192" t="s">
        <v>1419</v>
      </c>
      <c r="J192" t="s">
        <v>787</v>
      </c>
      <c r="K192">
        <v>3</v>
      </c>
      <c r="L192">
        <v>1</v>
      </c>
      <c r="M192">
        <v>2</v>
      </c>
      <c r="N192">
        <v>0</v>
      </c>
      <c r="O192">
        <v>0</v>
      </c>
      <c r="P192" t="s">
        <v>69</v>
      </c>
      <c r="Q192">
        <v>2020</v>
      </c>
      <c r="R192" t="s">
        <v>788</v>
      </c>
      <c r="S192" t="s">
        <v>196</v>
      </c>
      <c r="T192">
        <v>120</v>
      </c>
      <c r="U192">
        <f>shark_tank__1[[#This Row],[Cleaned Yearly Revenue]]/12</f>
        <v>10</v>
      </c>
      <c r="V192">
        <v>60</v>
      </c>
      <c r="X192">
        <v>50</v>
      </c>
      <c r="Y192">
        <v>5</v>
      </c>
      <c r="Z192">
        <v>1000</v>
      </c>
      <c r="AA192">
        <v>1</v>
      </c>
      <c r="AB192">
        <v>1</v>
      </c>
      <c r="AC192">
        <v>25</v>
      </c>
      <c r="AD192">
        <v>5</v>
      </c>
      <c r="AE192">
        <v>25</v>
      </c>
      <c r="AF192">
        <v>12</v>
      </c>
      <c r="AG192">
        <v>500</v>
      </c>
      <c r="AH192">
        <v>2</v>
      </c>
      <c r="AN192">
        <v>12.5</v>
      </c>
      <c r="AO192">
        <v>2.5</v>
      </c>
      <c r="AP192">
        <v>12.5</v>
      </c>
      <c r="AT192">
        <v>12.5</v>
      </c>
      <c r="AU192">
        <v>2.5</v>
      </c>
      <c r="AV192">
        <v>12.5</v>
      </c>
    </row>
    <row r="193" spans="1:59" x14ac:dyDescent="0.3">
      <c r="A193">
        <v>2</v>
      </c>
      <c r="B193" s="4">
        <v>44928</v>
      </c>
      <c r="C193" s="4">
        <v>44995</v>
      </c>
      <c r="D193">
        <v>23</v>
      </c>
      <c r="E193" t="s">
        <v>781</v>
      </c>
      <c r="F193">
        <v>222</v>
      </c>
      <c r="G193" t="s">
        <v>1420</v>
      </c>
      <c r="H193" t="s">
        <v>225</v>
      </c>
      <c r="I193" t="s">
        <v>1421</v>
      </c>
      <c r="J193" t="s">
        <v>791</v>
      </c>
      <c r="K193">
        <v>1</v>
      </c>
      <c r="L193">
        <v>1</v>
      </c>
      <c r="M193">
        <v>0</v>
      </c>
      <c r="N193">
        <v>0</v>
      </c>
      <c r="O193">
        <v>0</v>
      </c>
      <c r="P193" t="s">
        <v>75</v>
      </c>
      <c r="Q193" t="s">
        <v>1309</v>
      </c>
      <c r="R193" t="s">
        <v>134</v>
      </c>
      <c r="S193" t="s">
        <v>99</v>
      </c>
      <c r="U193">
        <f>shark_tank__1[[#This Row],[Cleaned Yearly Revenue]]/12</f>
        <v>0</v>
      </c>
      <c r="X193">
        <v>30</v>
      </c>
      <c r="Y193">
        <v>2</v>
      </c>
      <c r="Z193">
        <v>1500</v>
      </c>
      <c r="AA193">
        <v>1</v>
      </c>
      <c r="AB193">
        <v>1</v>
      </c>
      <c r="AC193">
        <v>30</v>
      </c>
      <c r="AD193">
        <v>5</v>
      </c>
      <c r="AE193">
        <v>0</v>
      </c>
      <c r="AF193">
        <v>0</v>
      </c>
      <c r="AG193">
        <v>600</v>
      </c>
      <c r="AH193">
        <v>2</v>
      </c>
      <c r="AT193">
        <v>15</v>
      </c>
      <c r="AU193">
        <v>2.5</v>
      </c>
      <c r="AZ193">
        <v>15</v>
      </c>
      <c r="BA193">
        <v>2.5</v>
      </c>
    </row>
    <row r="194" spans="1:59" x14ac:dyDescent="0.3">
      <c r="A194">
        <v>2</v>
      </c>
      <c r="B194" s="4">
        <v>44928</v>
      </c>
      <c r="C194" s="4">
        <v>44995</v>
      </c>
      <c r="D194">
        <v>23</v>
      </c>
      <c r="E194" t="s">
        <v>781</v>
      </c>
      <c r="F194">
        <v>223</v>
      </c>
      <c r="G194" t="s">
        <v>792</v>
      </c>
      <c r="H194" t="s">
        <v>173</v>
      </c>
      <c r="I194" t="s">
        <v>793</v>
      </c>
      <c r="J194" t="s">
        <v>794</v>
      </c>
      <c r="K194">
        <v>2</v>
      </c>
      <c r="L194">
        <v>2</v>
      </c>
      <c r="M194">
        <v>0</v>
      </c>
      <c r="N194">
        <v>0</v>
      </c>
      <c r="O194">
        <v>0</v>
      </c>
      <c r="P194" t="s">
        <v>69</v>
      </c>
      <c r="Q194" t="s">
        <v>1309</v>
      </c>
      <c r="R194" t="s">
        <v>795</v>
      </c>
      <c r="S194" t="s">
        <v>93</v>
      </c>
      <c r="T194">
        <v>110</v>
      </c>
      <c r="U194">
        <f>shark_tank__1[[#This Row],[Cleaned Yearly Revenue]]/12</f>
        <v>9.1666666666666661</v>
      </c>
      <c r="W194">
        <v>20</v>
      </c>
      <c r="X194">
        <v>100</v>
      </c>
      <c r="Y194">
        <v>2.5</v>
      </c>
      <c r="Z194">
        <v>4000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59" x14ac:dyDescent="0.3">
      <c r="A195">
        <v>2</v>
      </c>
      <c r="B195" s="4">
        <v>44928</v>
      </c>
      <c r="C195" s="4">
        <v>44995</v>
      </c>
      <c r="D195">
        <v>24</v>
      </c>
      <c r="E195" t="s">
        <v>796</v>
      </c>
      <c r="F195">
        <v>224</v>
      </c>
      <c r="G195" t="s">
        <v>797</v>
      </c>
      <c r="H195" t="s">
        <v>72</v>
      </c>
      <c r="I195" t="s">
        <v>1422</v>
      </c>
      <c r="J195" t="s">
        <v>1309</v>
      </c>
      <c r="K195">
        <v>3</v>
      </c>
      <c r="L195">
        <v>2</v>
      </c>
      <c r="M195">
        <v>1</v>
      </c>
      <c r="N195">
        <v>0</v>
      </c>
      <c r="O195">
        <v>0</v>
      </c>
      <c r="P195" t="s">
        <v>69</v>
      </c>
      <c r="Q195" t="s">
        <v>1309</v>
      </c>
      <c r="R195" t="s">
        <v>76</v>
      </c>
      <c r="S195" t="s">
        <v>77</v>
      </c>
      <c r="U195">
        <f>shark_tank__1[[#This Row],[Cleaned Yearly Revenue]]/12</f>
        <v>0</v>
      </c>
      <c r="X195">
        <v>75</v>
      </c>
      <c r="Y195">
        <v>7.5</v>
      </c>
      <c r="Z195">
        <v>1000</v>
      </c>
      <c r="AA195">
        <v>1</v>
      </c>
      <c r="AB195">
        <v>1</v>
      </c>
      <c r="AC195">
        <v>100</v>
      </c>
      <c r="AD195">
        <v>10</v>
      </c>
      <c r="AE195">
        <v>0</v>
      </c>
      <c r="AF195">
        <v>0</v>
      </c>
      <c r="AG195">
        <v>1000</v>
      </c>
      <c r="AH195">
        <v>3</v>
      </c>
      <c r="AQ195">
        <v>33.33</v>
      </c>
      <c r="AR195">
        <v>3.33</v>
      </c>
      <c r="AT195">
        <v>33.33</v>
      </c>
      <c r="AU195">
        <v>3.33</v>
      </c>
      <c r="AW195">
        <v>33.33</v>
      </c>
      <c r="AX195">
        <v>3.33</v>
      </c>
    </row>
    <row r="196" spans="1:59" x14ac:dyDescent="0.3">
      <c r="A196">
        <v>2</v>
      </c>
      <c r="B196" s="4">
        <v>44928</v>
      </c>
      <c r="C196" s="4">
        <v>44995</v>
      </c>
      <c r="D196">
        <v>24</v>
      </c>
      <c r="E196" t="s">
        <v>796</v>
      </c>
      <c r="F196">
        <v>225</v>
      </c>
      <c r="G196" t="s">
        <v>799</v>
      </c>
      <c r="H196" t="s">
        <v>66</v>
      </c>
      <c r="I196" t="s">
        <v>800</v>
      </c>
      <c r="J196" t="s">
        <v>801</v>
      </c>
      <c r="K196">
        <v>2</v>
      </c>
      <c r="L196">
        <v>2</v>
      </c>
      <c r="M196">
        <v>0</v>
      </c>
      <c r="N196">
        <v>0</v>
      </c>
      <c r="O196">
        <v>0</v>
      </c>
      <c r="P196" t="s">
        <v>69</v>
      </c>
      <c r="Q196" t="s">
        <v>1309</v>
      </c>
      <c r="R196" t="s">
        <v>802</v>
      </c>
      <c r="S196" t="s">
        <v>803</v>
      </c>
      <c r="U196">
        <f>shark_tank__1[[#This Row],[Cleaned Yearly Revenue]]/12</f>
        <v>0</v>
      </c>
      <c r="X196">
        <v>75</v>
      </c>
      <c r="Y196">
        <v>4</v>
      </c>
      <c r="Z196">
        <v>1875</v>
      </c>
      <c r="AA196">
        <v>1</v>
      </c>
      <c r="AB196">
        <v>1</v>
      </c>
      <c r="AC196">
        <v>75</v>
      </c>
      <c r="AD196">
        <v>7.5</v>
      </c>
      <c r="AE196">
        <v>0</v>
      </c>
      <c r="AF196">
        <v>0</v>
      </c>
      <c r="AG196">
        <v>1000</v>
      </c>
      <c r="AH196">
        <v>1</v>
      </c>
      <c r="AI196" t="s">
        <v>804</v>
      </c>
      <c r="AQ196">
        <v>75</v>
      </c>
      <c r="AR196">
        <v>7.5</v>
      </c>
    </row>
    <row r="197" spans="1:59" x14ac:dyDescent="0.3">
      <c r="A197">
        <v>2</v>
      </c>
      <c r="B197" s="4">
        <v>44928</v>
      </c>
      <c r="C197" s="4">
        <v>44995</v>
      </c>
      <c r="D197">
        <v>24</v>
      </c>
      <c r="E197" t="s">
        <v>796</v>
      </c>
      <c r="F197">
        <v>226</v>
      </c>
      <c r="G197" t="s">
        <v>1255</v>
      </c>
      <c r="H197" t="s">
        <v>79</v>
      </c>
      <c r="I197" t="s">
        <v>806</v>
      </c>
      <c r="J197" t="s">
        <v>807</v>
      </c>
      <c r="K197">
        <v>1</v>
      </c>
      <c r="L197">
        <v>1</v>
      </c>
      <c r="M197">
        <v>0</v>
      </c>
      <c r="N197">
        <v>0</v>
      </c>
      <c r="O197">
        <v>0</v>
      </c>
      <c r="P197" t="s">
        <v>69</v>
      </c>
      <c r="Q197" t="s">
        <v>1309</v>
      </c>
      <c r="R197" t="s">
        <v>86</v>
      </c>
      <c r="S197" t="s">
        <v>87</v>
      </c>
      <c r="T197">
        <v>110</v>
      </c>
      <c r="U197">
        <f>shark_tank__1[[#This Row],[Cleaned Yearly Revenue]]/12</f>
        <v>9.1666666666666661</v>
      </c>
      <c r="V197">
        <v>80</v>
      </c>
      <c r="X197">
        <v>50</v>
      </c>
      <c r="Y197">
        <v>2.5</v>
      </c>
      <c r="Z197">
        <v>2000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59" x14ac:dyDescent="0.3">
      <c r="A198">
        <v>2</v>
      </c>
      <c r="B198" s="4">
        <v>44928</v>
      </c>
      <c r="C198" s="4">
        <v>44995</v>
      </c>
      <c r="D198">
        <v>25</v>
      </c>
      <c r="E198" t="s">
        <v>808</v>
      </c>
      <c r="F198">
        <v>227</v>
      </c>
      <c r="G198" t="s">
        <v>1256</v>
      </c>
      <c r="H198" t="s">
        <v>286</v>
      </c>
      <c r="I198" t="s">
        <v>1423</v>
      </c>
      <c r="J198" t="s">
        <v>811</v>
      </c>
      <c r="K198">
        <v>1</v>
      </c>
      <c r="L198">
        <v>1</v>
      </c>
      <c r="M198">
        <v>0</v>
      </c>
      <c r="N198">
        <v>0</v>
      </c>
      <c r="O198">
        <v>0</v>
      </c>
      <c r="P198" t="s">
        <v>75</v>
      </c>
      <c r="Q198">
        <v>2020</v>
      </c>
      <c r="R198" t="s">
        <v>70</v>
      </c>
      <c r="S198" t="s">
        <v>70</v>
      </c>
      <c r="T198">
        <v>600</v>
      </c>
      <c r="U198">
        <f>shark_tank__1[[#This Row],[Cleaned Yearly Revenue]]/12</f>
        <v>50</v>
      </c>
      <c r="V198">
        <v>25</v>
      </c>
      <c r="X198">
        <v>60</v>
      </c>
      <c r="Y198">
        <v>3</v>
      </c>
      <c r="Z198">
        <v>2000</v>
      </c>
      <c r="AA198">
        <v>1</v>
      </c>
      <c r="AB198">
        <v>1</v>
      </c>
      <c r="AC198">
        <v>60</v>
      </c>
      <c r="AD198">
        <v>5</v>
      </c>
      <c r="AE198">
        <v>0</v>
      </c>
      <c r="AF198">
        <v>0</v>
      </c>
      <c r="AG198">
        <v>1200</v>
      </c>
      <c r="AH198">
        <v>1</v>
      </c>
      <c r="BF198">
        <v>60</v>
      </c>
      <c r="BG198">
        <v>5</v>
      </c>
    </row>
    <row r="199" spans="1:59" x14ac:dyDescent="0.3">
      <c r="A199">
        <v>2</v>
      </c>
      <c r="B199" s="4">
        <v>44928</v>
      </c>
      <c r="C199" s="4">
        <v>44995</v>
      </c>
      <c r="D199">
        <v>25</v>
      </c>
      <c r="E199" t="s">
        <v>808</v>
      </c>
      <c r="F199">
        <v>228</v>
      </c>
      <c r="G199" t="s">
        <v>1257</v>
      </c>
      <c r="H199" t="s">
        <v>66</v>
      </c>
      <c r="I199" t="s">
        <v>1424</v>
      </c>
      <c r="J199" t="s">
        <v>814</v>
      </c>
      <c r="K199">
        <v>2</v>
      </c>
      <c r="L199">
        <v>1</v>
      </c>
      <c r="M199">
        <v>1</v>
      </c>
      <c r="N199">
        <v>0</v>
      </c>
      <c r="O199">
        <v>0</v>
      </c>
      <c r="P199" t="s">
        <v>69</v>
      </c>
      <c r="Q199">
        <v>2019</v>
      </c>
      <c r="R199" t="s">
        <v>165</v>
      </c>
      <c r="S199" t="s">
        <v>99</v>
      </c>
      <c r="U199">
        <f>shark_tank__1[[#This Row],[Cleaned Yearly Revenue]]/12</f>
        <v>0</v>
      </c>
      <c r="V199">
        <v>63</v>
      </c>
      <c r="W199">
        <v>38</v>
      </c>
      <c r="X199">
        <v>40</v>
      </c>
      <c r="Y199">
        <v>10</v>
      </c>
      <c r="Z199">
        <v>400</v>
      </c>
      <c r="AA199">
        <v>1</v>
      </c>
      <c r="AB199">
        <v>1</v>
      </c>
      <c r="AC199">
        <v>40</v>
      </c>
      <c r="AD199">
        <v>20</v>
      </c>
      <c r="AE199">
        <v>0</v>
      </c>
      <c r="AF199">
        <v>0</v>
      </c>
      <c r="AG199">
        <v>200</v>
      </c>
      <c r="AH199">
        <v>1</v>
      </c>
      <c r="AQ199">
        <v>40</v>
      </c>
      <c r="AR199">
        <v>20</v>
      </c>
    </row>
    <row r="200" spans="1:59" x14ac:dyDescent="0.3">
      <c r="A200">
        <v>2</v>
      </c>
      <c r="B200" s="4">
        <v>44928</v>
      </c>
      <c r="C200" s="4">
        <v>44995</v>
      </c>
      <c r="D200">
        <v>25</v>
      </c>
      <c r="E200" t="s">
        <v>808</v>
      </c>
      <c r="F200">
        <v>229</v>
      </c>
      <c r="G200" t="s">
        <v>815</v>
      </c>
      <c r="H200" t="s">
        <v>79</v>
      </c>
      <c r="I200" t="s">
        <v>816</v>
      </c>
      <c r="J200" t="s">
        <v>817</v>
      </c>
      <c r="K200">
        <v>2</v>
      </c>
      <c r="L200">
        <v>0</v>
      </c>
      <c r="M200">
        <v>2</v>
      </c>
      <c r="N200">
        <v>0</v>
      </c>
      <c r="O200">
        <v>0</v>
      </c>
      <c r="P200" t="s">
        <v>75</v>
      </c>
      <c r="Q200" t="s">
        <v>1309</v>
      </c>
      <c r="R200" t="s">
        <v>818</v>
      </c>
      <c r="S200" t="s">
        <v>819</v>
      </c>
      <c r="T200">
        <v>100</v>
      </c>
      <c r="U200">
        <f>shark_tank__1[[#This Row],[Cleaned Yearly Revenue]]/12</f>
        <v>8.3333333333333339</v>
      </c>
      <c r="V200">
        <v>60</v>
      </c>
      <c r="X200">
        <v>75</v>
      </c>
      <c r="Y200">
        <v>2.5</v>
      </c>
      <c r="Z200">
        <v>3000</v>
      </c>
      <c r="AA200">
        <v>1</v>
      </c>
      <c r="AB200">
        <v>1</v>
      </c>
      <c r="AC200">
        <v>75</v>
      </c>
      <c r="AD200">
        <v>10</v>
      </c>
      <c r="AE200">
        <v>0</v>
      </c>
      <c r="AF200">
        <v>0</v>
      </c>
      <c r="AG200">
        <v>750</v>
      </c>
      <c r="AH200">
        <v>1</v>
      </c>
      <c r="AW200">
        <v>75</v>
      </c>
      <c r="AX200">
        <v>10</v>
      </c>
    </row>
    <row r="201" spans="1:59" x14ac:dyDescent="0.3">
      <c r="A201">
        <v>2</v>
      </c>
      <c r="B201" s="4">
        <v>44928</v>
      </c>
      <c r="C201" s="4">
        <v>44995</v>
      </c>
      <c r="D201">
        <v>26</v>
      </c>
      <c r="E201" t="s">
        <v>820</v>
      </c>
      <c r="F201">
        <v>230</v>
      </c>
      <c r="G201" t="s">
        <v>1258</v>
      </c>
      <c r="H201" t="s">
        <v>79</v>
      </c>
      <c r="I201" t="s">
        <v>822</v>
      </c>
      <c r="J201" t="s">
        <v>823</v>
      </c>
      <c r="K201">
        <v>2</v>
      </c>
      <c r="L201">
        <v>2</v>
      </c>
      <c r="M201">
        <v>0</v>
      </c>
      <c r="N201">
        <v>0</v>
      </c>
      <c r="O201">
        <v>0</v>
      </c>
      <c r="P201" t="s">
        <v>75</v>
      </c>
      <c r="Q201">
        <v>2022</v>
      </c>
      <c r="R201" t="s">
        <v>185</v>
      </c>
      <c r="S201" t="s">
        <v>186</v>
      </c>
      <c r="T201">
        <v>114</v>
      </c>
      <c r="U201">
        <f>shark_tank__1[[#This Row],[Cleaned Yearly Revenue]]/12</f>
        <v>9.5</v>
      </c>
      <c r="V201">
        <v>60</v>
      </c>
      <c r="X201">
        <v>50</v>
      </c>
      <c r="Y201">
        <v>5</v>
      </c>
      <c r="Z201">
        <v>1000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59" x14ac:dyDescent="0.3">
      <c r="A202">
        <v>2</v>
      </c>
      <c r="B202" s="4">
        <v>44928</v>
      </c>
      <c r="C202" s="4">
        <v>44995</v>
      </c>
      <c r="D202">
        <v>26</v>
      </c>
      <c r="E202" t="s">
        <v>820</v>
      </c>
      <c r="F202">
        <v>231</v>
      </c>
      <c r="G202" t="s">
        <v>1259</v>
      </c>
      <c r="H202" t="s">
        <v>225</v>
      </c>
      <c r="I202" t="s">
        <v>1425</v>
      </c>
      <c r="J202" t="s">
        <v>826</v>
      </c>
      <c r="K202">
        <v>1</v>
      </c>
      <c r="L202">
        <v>1</v>
      </c>
      <c r="M202">
        <v>0</v>
      </c>
      <c r="N202">
        <v>0</v>
      </c>
      <c r="O202">
        <v>0</v>
      </c>
      <c r="P202" t="s">
        <v>69</v>
      </c>
      <c r="Q202">
        <v>2022</v>
      </c>
      <c r="R202" t="s">
        <v>70</v>
      </c>
      <c r="S202" t="s">
        <v>70</v>
      </c>
      <c r="T202">
        <v>1600</v>
      </c>
      <c r="U202">
        <f>shark_tank__1[[#This Row],[Cleaned Yearly Revenue]]/12</f>
        <v>133.33333333333334</v>
      </c>
      <c r="V202">
        <v>90</v>
      </c>
      <c r="X202">
        <v>100</v>
      </c>
      <c r="Y202">
        <v>1</v>
      </c>
      <c r="Z202">
        <v>10000</v>
      </c>
      <c r="AA202">
        <v>1</v>
      </c>
      <c r="AB202">
        <v>1</v>
      </c>
      <c r="AC202">
        <v>200</v>
      </c>
      <c r="AD202">
        <v>4</v>
      </c>
      <c r="AE202">
        <v>0</v>
      </c>
      <c r="AF202">
        <v>0</v>
      </c>
      <c r="AG202">
        <v>5000</v>
      </c>
      <c r="AH202">
        <v>4</v>
      </c>
      <c r="AN202">
        <v>50</v>
      </c>
      <c r="AO202">
        <v>1</v>
      </c>
      <c r="AQ202">
        <v>50</v>
      </c>
      <c r="AR202">
        <v>1</v>
      </c>
      <c r="AW202">
        <v>50</v>
      </c>
      <c r="AX202">
        <v>1</v>
      </c>
      <c r="BF202">
        <v>50</v>
      </c>
      <c r="BG202">
        <v>1</v>
      </c>
    </row>
    <row r="203" spans="1:59" x14ac:dyDescent="0.3">
      <c r="A203">
        <v>2</v>
      </c>
      <c r="B203" s="4">
        <v>44928</v>
      </c>
      <c r="C203" s="4">
        <v>44995</v>
      </c>
      <c r="D203">
        <v>26</v>
      </c>
      <c r="E203" t="s">
        <v>820</v>
      </c>
      <c r="F203">
        <v>232</v>
      </c>
      <c r="G203" t="s">
        <v>1260</v>
      </c>
      <c r="H203" t="s">
        <v>66</v>
      </c>
      <c r="I203" t="s">
        <v>828</v>
      </c>
      <c r="J203" t="s">
        <v>829</v>
      </c>
      <c r="K203">
        <v>2</v>
      </c>
      <c r="L203">
        <v>2</v>
      </c>
      <c r="M203">
        <v>0</v>
      </c>
      <c r="N203">
        <v>0</v>
      </c>
      <c r="O203">
        <v>0</v>
      </c>
      <c r="P203" t="s">
        <v>69</v>
      </c>
      <c r="Q203">
        <v>2018</v>
      </c>
      <c r="R203" t="s">
        <v>830</v>
      </c>
      <c r="S203" t="s">
        <v>831</v>
      </c>
      <c r="T203">
        <v>1000</v>
      </c>
      <c r="U203">
        <f>shark_tank__1[[#This Row],[Cleaned Yearly Revenue]]/12</f>
        <v>83.333333333333329</v>
      </c>
      <c r="W203">
        <v>19</v>
      </c>
      <c r="X203">
        <v>75</v>
      </c>
      <c r="Y203">
        <v>1</v>
      </c>
      <c r="Z203">
        <v>7500</v>
      </c>
      <c r="AA203">
        <v>1</v>
      </c>
      <c r="AB203">
        <v>1</v>
      </c>
      <c r="AC203">
        <v>50</v>
      </c>
      <c r="AD203">
        <v>3</v>
      </c>
      <c r="AE203">
        <v>25</v>
      </c>
      <c r="AF203">
        <v>12</v>
      </c>
      <c r="AG203">
        <v>1666.666667</v>
      </c>
      <c r="AH203">
        <v>1</v>
      </c>
      <c r="AW203">
        <v>50</v>
      </c>
      <c r="AX203">
        <v>3</v>
      </c>
      <c r="AY203">
        <v>25</v>
      </c>
    </row>
    <row r="204" spans="1:59" x14ac:dyDescent="0.3">
      <c r="A204">
        <v>2</v>
      </c>
      <c r="B204" s="4">
        <v>44928</v>
      </c>
      <c r="C204" s="4">
        <v>44995</v>
      </c>
      <c r="D204">
        <v>27</v>
      </c>
      <c r="E204" t="s">
        <v>832</v>
      </c>
      <c r="F204">
        <v>233</v>
      </c>
      <c r="G204" t="s">
        <v>1261</v>
      </c>
      <c r="H204" t="s">
        <v>66</v>
      </c>
      <c r="I204" t="s">
        <v>834</v>
      </c>
      <c r="J204" t="s">
        <v>835</v>
      </c>
      <c r="K204">
        <v>2</v>
      </c>
      <c r="L204">
        <v>1</v>
      </c>
      <c r="M204">
        <v>1</v>
      </c>
      <c r="N204">
        <v>0</v>
      </c>
      <c r="O204">
        <v>1</v>
      </c>
      <c r="P204" t="s">
        <v>69</v>
      </c>
      <c r="Q204">
        <v>2017</v>
      </c>
      <c r="R204" t="s">
        <v>134</v>
      </c>
      <c r="S204" t="s">
        <v>99</v>
      </c>
      <c r="T204">
        <v>-1</v>
      </c>
      <c r="U204">
        <f>shark_tank__1[[#This Row],[Cleaned Yearly Revenue]]/12</f>
        <v>-8.3333333333333329E-2</v>
      </c>
      <c r="X204">
        <v>100</v>
      </c>
      <c r="Y204">
        <v>2</v>
      </c>
      <c r="Z204">
        <v>5000</v>
      </c>
      <c r="AA204">
        <v>1</v>
      </c>
      <c r="AB204">
        <v>1</v>
      </c>
      <c r="AC204">
        <v>100</v>
      </c>
      <c r="AD204">
        <v>8</v>
      </c>
      <c r="AE204">
        <v>0</v>
      </c>
      <c r="AF204">
        <v>0</v>
      </c>
      <c r="AG204">
        <v>1250</v>
      </c>
      <c r="AH204">
        <v>1</v>
      </c>
      <c r="AT204">
        <v>100</v>
      </c>
      <c r="AU204">
        <v>8</v>
      </c>
    </row>
    <row r="205" spans="1:59" x14ac:dyDescent="0.3">
      <c r="A205">
        <v>2</v>
      </c>
      <c r="B205" s="4">
        <v>44928</v>
      </c>
      <c r="C205" s="4">
        <v>44995</v>
      </c>
      <c r="D205">
        <v>27</v>
      </c>
      <c r="E205" t="s">
        <v>832</v>
      </c>
      <c r="F205">
        <v>234</v>
      </c>
      <c r="G205" t="s">
        <v>1262</v>
      </c>
      <c r="H205" t="s">
        <v>635</v>
      </c>
      <c r="I205" t="s">
        <v>837</v>
      </c>
      <c r="J205" t="s">
        <v>838</v>
      </c>
      <c r="K205">
        <v>3</v>
      </c>
      <c r="L205">
        <v>1</v>
      </c>
      <c r="M205">
        <v>2</v>
      </c>
      <c r="N205">
        <v>0</v>
      </c>
      <c r="O205">
        <v>1</v>
      </c>
      <c r="P205" t="s">
        <v>75</v>
      </c>
      <c r="Q205" t="s">
        <v>1309</v>
      </c>
      <c r="R205" t="s">
        <v>394</v>
      </c>
      <c r="S205" t="s">
        <v>77</v>
      </c>
      <c r="T205">
        <v>117</v>
      </c>
      <c r="U205">
        <f>shark_tank__1[[#This Row],[Cleaned Yearly Revenue]]/12</f>
        <v>9.75</v>
      </c>
      <c r="X205">
        <v>50</v>
      </c>
      <c r="Y205">
        <v>3</v>
      </c>
      <c r="Z205">
        <v>1666.67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59" x14ac:dyDescent="0.3">
      <c r="A206">
        <v>2</v>
      </c>
      <c r="B206" s="4">
        <v>44928</v>
      </c>
      <c r="C206" s="4">
        <v>44995</v>
      </c>
      <c r="D206">
        <v>27</v>
      </c>
      <c r="E206" t="s">
        <v>832</v>
      </c>
      <c r="F206">
        <v>235</v>
      </c>
      <c r="G206" t="s">
        <v>839</v>
      </c>
      <c r="H206" t="s">
        <v>635</v>
      </c>
      <c r="I206" t="s">
        <v>1426</v>
      </c>
      <c r="J206" t="s">
        <v>841</v>
      </c>
      <c r="K206">
        <v>2</v>
      </c>
      <c r="L206">
        <v>1</v>
      </c>
      <c r="M206">
        <v>1</v>
      </c>
      <c r="N206">
        <v>0</v>
      </c>
      <c r="O206">
        <v>1</v>
      </c>
      <c r="P206" t="s">
        <v>69</v>
      </c>
      <c r="Q206">
        <v>2019</v>
      </c>
      <c r="R206" t="s">
        <v>195</v>
      </c>
      <c r="S206" t="s">
        <v>196</v>
      </c>
      <c r="T206">
        <v>16</v>
      </c>
      <c r="U206">
        <f>shark_tank__1[[#This Row],[Cleaned Yearly Revenue]]/12</f>
        <v>1.3333333333333333</v>
      </c>
      <c r="V206">
        <v>40</v>
      </c>
      <c r="W206">
        <v>25</v>
      </c>
      <c r="X206">
        <v>50</v>
      </c>
      <c r="Y206">
        <v>7.5</v>
      </c>
      <c r="Z206">
        <v>666.67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59" x14ac:dyDescent="0.3">
      <c r="A207">
        <v>2</v>
      </c>
      <c r="B207" s="4">
        <v>44928</v>
      </c>
      <c r="C207" s="4">
        <v>44995</v>
      </c>
      <c r="D207">
        <v>27</v>
      </c>
      <c r="E207" t="s">
        <v>832</v>
      </c>
      <c r="F207">
        <v>236</v>
      </c>
      <c r="G207" t="s">
        <v>1263</v>
      </c>
      <c r="H207" t="s">
        <v>448</v>
      </c>
      <c r="I207" t="s">
        <v>1427</v>
      </c>
      <c r="J207" t="s">
        <v>844</v>
      </c>
      <c r="K207">
        <v>2</v>
      </c>
      <c r="L207">
        <v>2</v>
      </c>
      <c r="M207">
        <v>0</v>
      </c>
      <c r="N207">
        <v>0</v>
      </c>
      <c r="O207">
        <v>0</v>
      </c>
      <c r="P207" t="s">
        <v>75</v>
      </c>
      <c r="Q207" t="s">
        <v>1309</v>
      </c>
      <c r="R207" t="s">
        <v>134</v>
      </c>
      <c r="S207" t="s">
        <v>99</v>
      </c>
      <c r="T207">
        <v>300</v>
      </c>
      <c r="U207">
        <f>shark_tank__1[[#This Row],[Cleaned Yearly Revenue]]/12</f>
        <v>25</v>
      </c>
      <c r="W207">
        <v>30</v>
      </c>
      <c r="X207">
        <v>75</v>
      </c>
      <c r="Y207">
        <v>3</v>
      </c>
      <c r="Z207">
        <v>2500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59" x14ac:dyDescent="0.3">
      <c r="A208">
        <v>2</v>
      </c>
      <c r="B208" s="4">
        <v>44928</v>
      </c>
      <c r="C208" s="4">
        <v>44995</v>
      </c>
      <c r="D208">
        <v>28</v>
      </c>
      <c r="E208" t="s">
        <v>845</v>
      </c>
      <c r="F208">
        <v>237</v>
      </c>
      <c r="G208" t="s">
        <v>846</v>
      </c>
      <c r="H208" t="s">
        <v>66</v>
      </c>
      <c r="I208" t="s">
        <v>847</v>
      </c>
      <c r="J208" t="s">
        <v>848</v>
      </c>
      <c r="K208">
        <v>2</v>
      </c>
      <c r="L208">
        <v>2</v>
      </c>
      <c r="M208">
        <v>0</v>
      </c>
      <c r="N208">
        <v>0</v>
      </c>
      <c r="O208">
        <v>0</v>
      </c>
      <c r="P208" t="s">
        <v>69</v>
      </c>
      <c r="Q208">
        <v>2018</v>
      </c>
      <c r="R208" t="s">
        <v>849</v>
      </c>
      <c r="S208" t="s">
        <v>850</v>
      </c>
      <c r="T208">
        <v>8400</v>
      </c>
      <c r="U208">
        <f>shark_tank__1[[#This Row],[Cleaned Yearly Revenue]]/12</f>
        <v>700</v>
      </c>
      <c r="X208">
        <v>100</v>
      </c>
      <c r="Y208">
        <v>0.5</v>
      </c>
      <c r="Z208">
        <v>20000</v>
      </c>
      <c r="AA208">
        <v>1</v>
      </c>
      <c r="AB208">
        <v>1</v>
      </c>
      <c r="AC208">
        <v>100</v>
      </c>
      <c r="AD208">
        <v>1.25</v>
      </c>
      <c r="AE208">
        <v>0</v>
      </c>
      <c r="AF208">
        <v>0</v>
      </c>
      <c r="AG208">
        <v>8000</v>
      </c>
      <c r="AH208">
        <v>1</v>
      </c>
      <c r="AW208">
        <v>100</v>
      </c>
      <c r="AX208">
        <v>1.25</v>
      </c>
    </row>
    <row r="209" spans="1:54" x14ac:dyDescent="0.3">
      <c r="A209">
        <v>2</v>
      </c>
      <c r="B209" s="4">
        <v>44928</v>
      </c>
      <c r="C209" s="4">
        <v>44995</v>
      </c>
      <c r="D209">
        <v>28</v>
      </c>
      <c r="E209" t="s">
        <v>845</v>
      </c>
      <c r="F209">
        <v>238</v>
      </c>
      <c r="G209" t="s">
        <v>1264</v>
      </c>
      <c r="H209" t="s">
        <v>182</v>
      </c>
      <c r="I209" t="s">
        <v>1428</v>
      </c>
      <c r="J209" t="s">
        <v>853</v>
      </c>
      <c r="K209">
        <v>1</v>
      </c>
      <c r="L209">
        <v>0</v>
      </c>
      <c r="M209">
        <v>1</v>
      </c>
      <c r="N209">
        <v>0</v>
      </c>
      <c r="O209">
        <v>0</v>
      </c>
      <c r="P209" t="s">
        <v>69</v>
      </c>
      <c r="Q209">
        <v>2017</v>
      </c>
      <c r="R209" t="s">
        <v>134</v>
      </c>
      <c r="S209" t="s">
        <v>99</v>
      </c>
      <c r="T209">
        <v>115</v>
      </c>
      <c r="U209">
        <f>shark_tank__1[[#This Row],[Cleaned Yearly Revenue]]/12</f>
        <v>9.5833333333333339</v>
      </c>
      <c r="V209">
        <v>50</v>
      </c>
      <c r="W209">
        <v>18</v>
      </c>
      <c r="X209">
        <v>50</v>
      </c>
      <c r="Y209">
        <v>3</v>
      </c>
      <c r="Z209">
        <v>1666.67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54" x14ac:dyDescent="0.3">
      <c r="A210">
        <v>2</v>
      </c>
      <c r="B210" s="4">
        <v>44928</v>
      </c>
      <c r="C210" s="4">
        <v>44995</v>
      </c>
      <c r="D210">
        <v>28</v>
      </c>
      <c r="E210" t="s">
        <v>845</v>
      </c>
      <c r="F210">
        <v>239</v>
      </c>
      <c r="G210" t="s">
        <v>1265</v>
      </c>
      <c r="H210" t="s">
        <v>225</v>
      </c>
      <c r="I210" t="s">
        <v>1429</v>
      </c>
      <c r="J210" t="s">
        <v>856</v>
      </c>
      <c r="K210">
        <v>1</v>
      </c>
      <c r="L210">
        <v>1</v>
      </c>
      <c r="M210">
        <v>0</v>
      </c>
      <c r="N210">
        <v>0</v>
      </c>
      <c r="O210">
        <v>0</v>
      </c>
      <c r="P210" t="s">
        <v>69</v>
      </c>
      <c r="Q210" t="s">
        <v>1309</v>
      </c>
      <c r="R210" t="s">
        <v>86</v>
      </c>
      <c r="S210" t="s">
        <v>87</v>
      </c>
      <c r="T210">
        <v>168</v>
      </c>
      <c r="U210">
        <f>shark_tank__1[[#This Row],[Cleaned Yearly Revenue]]/12</f>
        <v>14</v>
      </c>
      <c r="X210">
        <v>40</v>
      </c>
      <c r="Y210">
        <v>2</v>
      </c>
      <c r="Z210">
        <v>2000</v>
      </c>
      <c r="AA210">
        <v>1</v>
      </c>
      <c r="AB210">
        <v>1</v>
      </c>
      <c r="AC210">
        <v>40</v>
      </c>
      <c r="AD210">
        <v>3.2</v>
      </c>
      <c r="AE210">
        <v>0</v>
      </c>
      <c r="AF210">
        <v>0</v>
      </c>
      <c r="AG210">
        <v>1250</v>
      </c>
      <c r="AH210">
        <v>2</v>
      </c>
      <c r="AI210" t="s">
        <v>804</v>
      </c>
      <c r="AN210">
        <v>20</v>
      </c>
      <c r="AO210">
        <v>1.6</v>
      </c>
      <c r="AQ210">
        <v>20</v>
      </c>
      <c r="AR210">
        <v>1.6</v>
      </c>
    </row>
    <row r="211" spans="1:54" x14ac:dyDescent="0.3">
      <c r="A211">
        <v>2</v>
      </c>
      <c r="B211" s="4">
        <v>44928</v>
      </c>
      <c r="C211" s="4">
        <v>44995</v>
      </c>
      <c r="D211">
        <v>29</v>
      </c>
      <c r="E211" t="s">
        <v>857</v>
      </c>
      <c r="F211">
        <v>240</v>
      </c>
      <c r="G211" t="s">
        <v>858</v>
      </c>
      <c r="H211" t="s">
        <v>182</v>
      </c>
      <c r="I211" t="s">
        <v>859</v>
      </c>
      <c r="J211" t="s">
        <v>860</v>
      </c>
      <c r="K211">
        <v>2</v>
      </c>
      <c r="L211">
        <v>2</v>
      </c>
      <c r="M211">
        <v>0</v>
      </c>
      <c r="N211">
        <v>0</v>
      </c>
      <c r="O211">
        <v>0</v>
      </c>
      <c r="P211" t="s">
        <v>75</v>
      </c>
      <c r="Q211" t="s">
        <v>1309</v>
      </c>
      <c r="R211" t="s">
        <v>861</v>
      </c>
      <c r="S211" t="s">
        <v>77</v>
      </c>
      <c r="U211">
        <f>shark_tank__1[[#This Row],[Cleaned Yearly Revenue]]/12</f>
        <v>0</v>
      </c>
      <c r="X211">
        <v>30</v>
      </c>
      <c r="Y211">
        <v>10</v>
      </c>
      <c r="Z211">
        <v>300</v>
      </c>
      <c r="AA211">
        <v>1</v>
      </c>
      <c r="AB211">
        <v>1</v>
      </c>
      <c r="AC211">
        <v>30</v>
      </c>
      <c r="AD211">
        <v>20</v>
      </c>
      <c r="AE211">
        <v>0</v>
      </c>
      <c r="AF211">
        <v>0</v>
      </c>
      <c r="AG211">
        <v>150</v>
      </c>
      <c r="AH211">
        <v>5</v>
      </c>
      <c r="AN211">
        <v>6</v>
      </c>
      <c r="AO211">
        <v>4</v>
      </c>
      <c r="AQ211">
        <v>6</v>
      </c>
      <c r="AR211">
        <v>4</v>
      </c>
      <c r="AT211">
        <v>6</v>
      </c>
      <c r="AU211">
        <v>4</v>
      </c>
      <c r="AW211">
        <v>6</v>
      </c>
      <c r="AX211">
        <v>4</v>
      </c>
      <c r="AZ211">
        <v>6</v>
      </c>
      <c r="BA211">
        <v>4</v>
      </c>
    </row>
    <row r="212" spans="1:54" x14ac:dyDescent="0.3">
      <c r="A212">
        <v>2</v>
      </c>
      <c r="B212" s="4">
        <v>44928</v>
      </c>
      <c r="C212" s="4">
        <v>44995</v>
      </c>
      <c r="D212">
        <v>29</v>
      </c>
      <c r="E212" t="s">
        <v>857</v>
      </c>
      <c r="F212">
        <v>241</v>
      </c>
      <c r="G212" t="s">
        <v>1266</v>
      </c>
      <c r="H212" t="s">
        <v>173</v>
      </c>
      <c r="I212" t="s">
        <v>863</v>
      </c>
      <c r="J212" t="s">
        <v>864</v>
      </c>
      <c r="K212">
        <v>2</v>
      </c>
      <c r="L212">
        <v>1</v>
      </c>
      <c r="M212">
        <v>1</v>
      </c>
      <c r="N212">
        <v>0</v>
      </c>
      <c r="O212">
        <v>0</v>
      </c>
      <c r="P212" t="s">
        <v>69</v>
      </c>
      <c r="Q212" t="s">
        <v>1309</v>
      </c>
      <c r="R212" t="s">
        <v>70</v>
      </c>
      <c r="S212" t="s">
        <v>70</v>
      </c>
      <c r="U212">
        <f>shark_tank__1[[#This Row],[Cleaned Yearly Revenue]]/12</f>
        <v>0</v>
      </c>
      <c r="X212">
        <v>53</v>
      </c>
      <c r="Y212">
        <v>1</v>
      </c>
      <c r="Z212">
        <v>5300</v>
      </c>
      <c r="AA212">
        <v>1</v>
      </c>
      <c r="AB212">
        <v>1</v>
      </c>
      <c r="AC212">
        <v>106</v>
      </c>
      <c r="AD212">
        <v>2</v>
      </c>
      <c r="AE212">
        <v>0</v>
      </c>
      <c r="AF212">
        <v>0</v>
      </c>
      <c r="AG212">
        <v>5300</v>
      </c>
      <c r="AH212">
        <v>4</v>
      </c>
      <c r="AN212">
        <v>17.66</v>
      </c>
      <c r="AO212">
        <v>0.33</v>
      </c>
      <c r="AT212">
        <v>17.66</v>
      </c>
      <c r="AU212">
        <v>0.33</v>
      </c>
      <c r="AW212">
        <v>17.66</v>
      </c>
      <c r="AX212">
        <v>0.33</v>
      </c>
      <c r="AZ212">
        <v>53</v>
      </c>
      <c r="BA212">
        <v>1</v>
      </c>
    </row>
    <row r="213" spans="1:54" x14ac:dyDescent="0.3">
      <c r="A213">
        <v>2</v>
      </c>
      <c r="B213" s="4">
        <v>44928</v>
      </c>
      <c r="C213" s="4">
        <v>44995</v>
      </c>
      <c r="D213">
        <v>29</v>
      </c>
      <c r="E213" t="s">
        <v>857</v>
      </c>
      <c r="F213">
        <v>242</v>
      </c>
      <c r="G213" t="s">
        <v>865</v>
      </c>
      <c r="H213" t="s">
        <v>66</v>
      </c>
      <c r="I213" t="s">
        <v>1430</v>
      </c>
      <c r="J213" t="s">
        <v>867</v>
      </c>
      <c r="K213">
        <v>1</v>
      </c>
      <c r="L213">
        <v>1</v>
      </c>
      <c r="M213">
        <v>0</v>
      </c>
      <c r="N213">
        <v>0</v>
      </c>
      <c r="O213">
        <v>0</v>
      </c>
      <c r="P213" t="s">
        <v>69</v>
      </c>
      <c r="Q213">
        <v>2016</v>
      </c>
      <c r="R213" t="s">
        <v>868</v>
      </c>
      <c r="S213" t="s">
        <v>156</v>
      </c>
      <c r="T213">
        <v>-1</v>
      </c>
      <c r="U213">
        <f>shark_tank__1[[#This Row],[Cleaned Yearly Revenue]]/12</f>
        <v>-8.3333333333333329E-2</v>
      </c>
      <c r="V213">
        <v>40</v>
      </c>
      <c r="X213">
        <v>50</v>
      </c>
      <c r="Y213">
        <v>2</v>
      </c>
      <c r="Z213">
        <v>2500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54" x14ac:dyDescent="0.3">
      <c r="A214">
        <v>2</v>
      </c>
      <c r="B214" s="4">
        <v>44928</v>
      </c>
      <c r="C214" s="4">
        <v>44995</v>
      </c>
      <c r="D214">
        <v>30</v>
      </c>
      <c r="E214" t="s">
        <v>869</v>
      </c>
      <c r="F214">
        <v>243</v>
      </c>
      <c r="G214" t="s">
        <v>870</v>
      </c>
      <c r="H214" t="s">
        <v>66</v>
      </c>
      <c r="I214" t="s">
        <v>1431</v>
      </c>
      <c r="J214" t="s">
        <v>872</v>
      </c>
      <c r="K214">
        <v>3</v>
      </c>
      <c r="L214">
        <v>3</v>
      </c>
      <c r="M214">
        <v>0</v>
      </c>
      <c r="N214">
        <v>0</v>
      </c>
      <c r="O214">
        <v>0</v>
      </c>
      <c r="P214" t="s">
        <v>69</v>
      </c>
      <c r="Q214" t="s">
        <v>1309</v>
      </c>
      <c r="R214" t="s">
        <v>70</v>
      </c>
      <c r="S214" t="s">
        <v>70</v>
      </c>
      <c r="T214">
        <v>3600</v>
      </c>
      <c r="U214">
        <f>shark_tank__1[[#This Row],[Cleaned Yearly Revenue]]/12</f>
        <v>300</v>
      </c>
      <c r="X214">
        <v>90</v>
      </c>
      <c r="Y214">
        <v>0.5</v>
      </c>
      <c r="Z214">
        <v>18000</v>
      </c>
      <c r="AA214">
        <v>1</v>
      </c>
      <c r="AB214">
        <v>1</v>
      </c>
      <c r="AC214">
        <v>90</v>
      </c>
      <c r="AD214">
        <v>1</v>
      </c>
      <c r="AE214">
        <v>0</v>
      </c>
      <c r="AF214">
        <v>0</v>
      </c>
      <c r="AG214">
        <v>9000</v>
      </c>
      <c r="AH214">
        <v>1</v>
      </c>
      <c r="AI214" t="s">
        <v>804</v>
      </c>
      <c r="AW214">
        <v>90</v>
      </c>
      <c r="AX214">
        <v>1</v>
      </c>
    </row>
    <row r="215" spans="1:54" x14ac:dyDescent="0.3">
      <c r="A215">
        <v>2</v>
      </c>
      <c r="B215" s="4">
        <v>44928</v>
      </c>
      <c r="C215" s="4">
        <v>44995</v>
      </c>
      <c r="D215">
        <v>30</v>
      </c>
      <c r="E215" t="s">
        <v>869</v>
      </c>
      <c r="F215">
        <v>244</v>
      </c>
      <c r="G215" t="s">
        <v>1267</v>
      </c>
      <c r="H215" t="s">
        <v>72</v>
      </c>
      <c r="I215" t="s">
        <v>1432</v>
      </c>
      <c r="J215" t="s">
        <v>875</v>
      </c>
      <c r="K215">
        <v>1</v>
      </c>
      <c r="L215">
        <v>1</v>
      </c>
      <c r="M215">
        <v>0</v>
      </c>
      <c r="N215">
        <v>0</v>
      </c>
      <c r="O215">
        <v>0</v>
      </c>
      <c r="P215" t="s">
        <v>69</v>
      </c>
      <c r="Q215" t="s">
        <v>1309</v>
      </c>
      <c r="R215" t="s">
        <v>70</v>
      </c>
      <c r="S215" t="s">
        <v>70</v>
      </c>
      <c r="U215">
        <f>shark_tank__1[[#This Row],[Cleaned Yearly Revenue]]/12</f>
        <v>0</v>
      </c>
      <c r="X215">
        <v>0</v>
      </c>
      <c r="Y215">
        <v>0.5</v>
      </c>
      <c r="Z215">
        <v>0</v>
      </c>
      <c r="AA215">
        <v>1</v>
      </c>
      <c r="AB215">
        <v>1</v>
      </c>
      <c r="AC215">
        <v>0</v>
      </c>
      <c r="AD215">
        <v>0.5</v>
      </c>
      <c r="AE215">
        <v>0</v>
      </c>
      <c r="AF215">
        <v>0</v>
      </c>
      <c r="AG215">
        <v>0</v>
      </c>
      <c r="AH215">
        <v>3</v>
      </c>
      <c r="AI215" t="s">
        <v>804</v>
      </c>
      <c r="AQ215">
        <v>0</v>
      </c>
      <c r="AR215">
        <v>0.16600000000000001</v>
      </c>
      <c r="AW215">
        <v>0</v>
      </c>
      <c r="AX215">
        <v>0.16600000000000001</v>
      </c>
      <c r="AZ215">
        <v>0</v>
      </c>
      <c r="BA215">
        <v>0.16600000000000001</v>
      </c>
    </row>
    <row r="216" spans="1:54" x14ac:dyDescent="0.3">
      <c r="A216">
        <v>2</v>
      </c>
      <c r="B216" s="4">
        <v>44928</v>
      </c>
      <c r="C216" s="4">
        <v>44995</v>
      </c>
      <c r="D216">
        <v>30</v>
      </c>
      <c r="E216" t="s">
        <v>869</v>
      </c>
      <c r="F216">
        <v>245</v>
      </c>
      <c r="G216" t="s">
        <v>1433</v>
      </c>
      <c r="H216" t="s">
        <v>635</v>
      </c>
      <c r="I216" t="s">
        <v>877</v>
      </c>
      <c r="J216" t="s">
        <v>878</v>
      </c>
      <c r="K216">
        <v>3</v>
      </c>
      <c r="L216">
        <v>3</v>
      </c>
      <c r="M216">
        <v>0</v>
      </c>
      <c r="N216">
        <v>0</v>
      </c>
      <c r="O216">
        <v>0</v>
      </c>
      <c r="P216" t="s">
        <v>69</v>
      </c>
      <c r="Q216">
        <v>2019</v>
      </c>
      <c r="R216" t="s">
        <v>879</v>
      </c>
      <c r="S216" t="s">
        <v>99</v>
      </c>
      <c r="T216">
        <v>4800</v>
      </c>
      <c r="U216">
        <f>shark_tank__1[[#This Row],[Cleaned Yearly Revenue]]/12</f>
        <v>400</v>
      </c>
      <c r="V216">
        <v>52</v>
      </c>
      <c r="X216">
        <v>90</v>
      </c>
      <c r="Y216">
        <v>1.5</v>
      </c>
      <c r="Z216">
        <v>6000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54" x14ac:dyDescent="0.3">
      <c r="A217">
        <v>2</v>
      </c>
      <c r="B217" s="4">
        <v>44928</v>
      </c>
      <c r="C217" s="4">
        <v>44995</v>
      </c>
      <c r="D217">
        <v>31</v>
      </c>
      <c r="E217" t="s">
        <v>880</v>
      </c>
      <c r="F217">
        <v>246</v>
      </c>
      <c r="G217" t="s">
        <v>881</v>
      </c>
      <c r="H217" t="s">
        <v>182</v>
      </c>
      <c r="I217" t="s">
        <v>1434</v>
      </c>
      <c r="J217" t="s">
        <v>883</v>
      </c>
      <c r="K217">
        <v>1</v>
      </c>
      <c r="L217">
        <v>1</v>
      </c>
      <c r="M217">
        <v>0</v>
      </c>
      <c r="N217">
        <v>0</v>
      </c>
      <c r="O217">
        <v>0</v>
      </c>
      <c r="P217" t="s">
        <v>75</v>
      </c>
      <c r="Q217">
        <v>2019</v>
      </c>
      <c r="R217" t="s">
        <v>165</v>
      </c>
      <c r="S217" t="s">
        <v>99</v>
      </c>
      <c r="T217">
        <v>21</v>
      </c>
      <c r="U217">
        <f>shark_tank__1[[#This Row],[Cleaned Yearly Revenue]]/12</f>
        <v>1.75</v>
      </c>
      <c r="V217">
        <v>35</v>
      </c>
      <c r="W217">
        <v>26</v>
      </c>
      <c r="X217">
        <v>50</v>
      </c>
      <c r="Y217">
        <v>10</v>
      </c>
      <c r="Z217">
        <v>500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J217">
        <v>1</v>
      </c>
    </row>
    <row r="218" spans="1:54" x14ac:dyDescent="0.3">
      <c r="A218">
        <v>2</v>
      </c>
      <c r="B218" s="4">
        <v>44928</v>
      </c>
      <c r="C218" s="4">
        <v>44995</v>
      </c>
      <c r="D218">
        <v>31</v>
      </c>
      <c r="E218" t="s">
        <v>880</v>
      </c>
      <c r="F218">
        <v>247</v>
      </c>
      <c r="G218" t="s">
        <v>1268</v>
      </c>
      <c r="H218" t="s">
        <v>173</v>
      </c>
      <c r="I218" t="s">
        <v>885</v>
      </c>
      <c r="J218" t="s">
        <v>886</v>
      </c>
      <c r="K218">
        <v>2</v>
      </c>
      <c r="L218">
        <v>2</v>
      </c>
      <c r="M218">
        <v>0</v>
      </c>
      <c r="N218">
        <v>0</v>
      </c>
      <c r="O218">
        <v>0</v>
      </c>
      <c r="P218" t="s">
        <v>69</v>
      </c>
      <c r="Q218" t="s">
        <v>1309</v>
      </c>
      <c r="R218" t="s">
        <v>887</v>
      </c>
      <c r="S218" t="s">
        <v>236</v>
      </c>
      <c r="U218">
        <f>shark_tank__1[[#This Row],[Cleaned Yearly Revenue]]/12</f>
        <v>0</v>
      </c>
      <c r="X218">
        <v>40</v>
      </c>
      <c r="Y218">
        <v>4</v>
      </c>
      <c r="Z218">
        <v>1000</v>
      </c>
      <c r="AA218">
        <v>1</v>
      </c>
      <c r="AB218">
        <v>1</v>
      </c>
      <c r="AC218">
        <v>40</v>
      </c>
      <c r="AD218">
        <v>10</v>
      </c>
      <c r="AE218">
        <v>0</v>
      </c>
      <c r="AF218">
        <v>0</v>
      </c>
      <c r="AG218">
        <v>400</v>
      </c>
      <c r="AH218">
        <v>1</v>
      </c>
      <c r="AN218">
        <v>40</v>
      </c>
      <c r="AO218">
        <v>10</v>
      </c>
    </row>
    <row r="219" spans="1:54" x14ac:dyDescent="0.3">
      <c r="A219">
        <v>2</v>
      </c>
      <c r="B219" s="4">
        <v>44928</v>
      </c>
      <c r="C219" s="4">
        <v>44995</v>
      </c>
      <c r="D219">
        <v>31</v>
      </c>
      <c r="E219" t="s">
        <v>880</v>
      </c>
      <c r="F219">
        <v>248</v>
      </c>
      <c r="G219" t="s">
        <v>888</v>
      </c>
      <c r="H219" t="s">
        <v>182</v>
      </c>
      <c r="I219" t="s">
        <v>1435</v>
      </c>
      <c r="J219" t="s">
        <v>890</v>
      </c>
      <c r="K219">
        <v>3</v>
      </c>
      <c r="L219">
        <v>2</v>
      </c>
      <c r="M219">
        <v>1</v>
      </c>
      <c r="N219">
        <v>0</v>
      </c>
      <c r="O219">
        <v>1</v>
      </c>
      <c r="P219" t="s">
        <v>69</v>
      </c>
      <c r="Q219" t="s">
        <v>1309</v>
      </c>
      <c r="R219" t="s">
        <v>70</v>
      </c>
      <c r="S219" t="s">
        <v>70</v>
      </c>
      <c r="T219">
        <v>-1</v>
      </c>
      <c r="U219">
        <f>shark_tank__1[[#This Row],[Cleaned Yearly Revenue]]/12</f>
        <v>-8.3333333333333329E-2</v>
      </c>
      <c r="X219">
        <v>60</v>
      </c>
      <c r="Y219">
        <v>1.5</v>
      </c>
      <c r="Z219">
        <v>4000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54" x14ac:dyDescent="0.3">
      <c r="A220">
        <v>2</v>
      </c>
      <c r="B220" s="4">
        <v>44928</v>
      </c>
      <c r="C220" s="4">
        <v>44995</v>
      </c>
      <c r="D220">
        <v>32</v>
      </c>
      <c r="E220" t="s">
        <v>891</v>
      </c>
      <c r="F220">
        <v>249</v>
      </c>
      <c r="G220" t="s">
        <v>892</v>
      </c>
      <c r="H220" t="s">
        <v>79</v>
      </c>
      <c r="I220" t="s">
        <v>1436</v>
      </c>
      <c r="J220" t="s">
        <v>894</v>
      </c>
      <c r="K220">
        <v>2</v>
      </c>
      <c r="L220">
        <v>1</v>
      </c>
      <c r="M220">
        <v>1</v>
      </c>
      <c r="N220">
        <v>0</v>
      </c>
      <c r="O220">
        <v>0</v>
      </c>
      <c r="P220" t="s">
        <v>69</v>
      </c>
      <c r="Q220" t="s">
        <v>1309</v>
      </c>
      <c r="R220" t="s">
        <v>76</v>
      </c>
      <c r="S220" t="s">
        <v>77</v>
      </c>
      <c r="U220">
        <f>shark_tank__1[[#This Row],[Cleaned Yearly Revenue]]/12</f>
        <v>0</v>
      </c>
      <c r="V220">
        <v>50</v>
      </c>
      <c r="W220">
        <v>35</v>
      </c>
      <c r="X220">
        <v>50</v>
      </c>
      <c r="Y220">
        <v>5</v>
      </c>
      <c r="Z220">
        <v>1000</v>
      </c>
      <c r="AA220">
        <v>1</v>
      </c>
      <c r="AB220">
        <v>1</v>
      </c>
      <c r="AC220">
        <v>10</v>
      </c>
      <c r="AD220">
        <v>5</v>
      </c>
      <c r="AE220">
        <v>40</v>
      </c>
      <c r="AF220">
        <v>0</v>
      </c>
      <c r="AG220">
        <v>200</v>
      </c>
      <c r="AH220">
        <v>1</v>
      </c>
      <c r="AN220">
        <v>10</v>
      </c>
      <c r="AO220">
        <v>5</v>
      </c>
      <c r="AP220">
        <v>40</v>
      </c>
    </row>
    <row r="221" spans="1:54" x14ac:dyDescent="0.3">
      <c r="A221">
        <v>2</v>
      </c>
      <c r="B221" s="4">
        <v>44928</v>
      </c>
      <c r="C221" s="4">
        <v>44995</v>
      </c>
      <c r="D221">
        <v>32</v>
      </c>
      <c r="E221" t="s">
        <v>891</v>
      </c>
      <c r="F221">
        <v>250</v>
      </c>
      <c r="G221" t="s">
        <v>895</v>
      </c>
      <c r="H221" t="s">
        <v>635</v>
      </c>
      <c r="I221" t="s">
        <v>1437</v>
      </c>
      <c r="J221" t="s">
        <v>897</v>
      </c>
      <c r="K221">
        <v>2</v>
      </c>
      <c r="L221">
        <v>1</v>
      </c>
      <c r="M221">
        <v>1</v>
      </c>
      <c r="N221">
        <v>0</v>
      </c>
      <c r="O221">
        <v>1</v>
      </c>
      <c r="P221" t="s">
        <v>69</v>
      </c>
      <c r="Q221" t="s">
        <v>1309</v>
      </c>
      <c r="R221" t="s">
        <v>235</v>
      </c>
      <c r="S221" t="s">
        <v>236</v>
      </c>
      <c r="U221">
        <f>shark_tank__1[[#This Row],[Cleaned Yearly Revenue]]/12</f>
        <v>0</v>
      </c>
      <c r="V221">
        <v>55</v>
      </c>
      <c r="X221">
        <v>70</v>
      </c>
      <c r="Y221">
        <v>1</v>
      </c>
      <c r="Z221">
        <v>7000</v>
      </c>
      <c r="AA221">
        <v>1</v>
      </c>
      <c r="AB221">
        <v>1</v>
      </c>
      <c r="AC221">
        <v>50</v>
      </c>
      <c r="AD221">
        <v>7</v>
      </c>
      <c r="AE221">
        <v>20</v>
      </c>
      <c r="AF221">
        <v>10</v>
      </c>
      <c r="AG221">
        <v>714.2857143</v>
      </c>
      <c r="AH221">
        <v>1</v>
      </c>
      <c r="AQ221">
        <v>50</v>
      </c>
      <c r="AR221">
        <v>7</v>
      </c>
      <c r="AS221">
        <v>20</v>
      </c>
    </row>
    <row r="222" spans="1:54" x14ac:dyDescent="0.3">
      <c r="A222">
        <v>2</v>
      </c>
      <c r="B222" s="4">
        <v>44928</v>
      </c>
      <c r="C222" s="4">
        <v>44995</v>
      </c>
      <c r="D222">
        <v>32</v>
      </c>
      <c r="E222" t="s">
        <v>891</v>
      </c>
      <c r="F222">
        <v>251</v>
      </c>
      <c r="G222" t="s">
        <v>1269</v>
      </c>
      <c r="H222" t="s">
        <v>182</v>
      </c>
      <c r="I222" t="s">
        <v>899</v>
      </c>
      <c r="J222" t="s">
        <v>900</v>
      </c>
      <c r="K222">
        <v>2</v>
      </c>
      <c r="L222">
        <v>2</v>
      </c>
      <c r="M222">
        <v>0</v>
      </c>
      <c r="N222">
        <v>0</v>
      </c>
      <c r="O222">
        <v>0</v>
      </c>
      <c r="P222" t="s">
        <v>69</v>
      </c>
      <c r="Q222" t="s">
        <v>1309</v>
      </c>
      <c r="R222" t="s">
        <v>155</v>
      </c>
      <c r="S222" t="s">
        <v>156</v>
      </c>
      <c r="U222">
        <f>shark_tank__1[[#This Row],[Cleaned Yearly Revenue]]/12</f>
        <v>0</v>
      </c>
      <c r="X222">
        <v>150</v>
      </c>
      <c r="Y222">
        <v>7.5</v>
      </c>
      <c r="Z222">
        <v>2000</v>
      </c>
      <c r="AA222">
        <v>1</v>
      </c>
      <c r="AB222">
        <v>1</v>
      </c>
      <c r="AC222">
        <v>50</v>
      </c>
      <c r="AD222">
        <v>5</v>
      </c>
      <c r="AE222">
        <v>100</v>
      </c>
      <c r="AF222">
        <v>10</v>
      </c>
      <c r="AG222">
        <v>1000</v>
      </c>
      <c r="AH222">
        <v>1</v>
      </c>
      <c r="AN222">
        <v>50</v>
      </c>
      <c r="AO222">
        <v>5</v>
      </c>
      <c r="AP222">
        <v>100</v>
      </c>
    </row>
    <row r="223" spans="1:54" x14ac:dyDescent="0.3">
      <c r="A223">
        <v>2</v>
      </c>
      <c r="B223" s="4">
        <v>44928</v>
      </c>
      <c r="C223" s="4">
        <v>44995</v>
      </c>
      <c r="D223">
        <v>32</v>
      </c>
      <c r="E223" t="s">
        <v>891</v>
      </c>
      <c r="F223">
        <v>252</v>
      </c>
      <c r="G223" t="s">
        <v>901</v>
      </c>
      <c r="H223" t="s">
        <v>225</v>
      </c>
      <c r="I223" t="s">
        <v>1438</v>
      </c>
      <c r="J223" t="s">
        <v>903</v>
      </c>
      <c r="K223">
        <v>2</v>
      </c>
      <c r="L223">
        <v>2</v>
      </c>
      <c r="M223">
        <v>0</v>
      </c>
      <c r="N223">
        <v>0</v>
      </c>
      <c r="O223">
        <v>0</v>
      </c>
      <c r="P223" t="s">
        <v>69</v>
      </c>
      <c r="Q223" t="s">
        <v>1309</v>
      </c>
      <c r="R223" t="s">
        <v>155</v>
      </c>
      <c r="S223" t="s">
        <v>156</v>
      </c>
      <c r="U223">
        <f>shark_tank__1[[#This Row],[Cleaned Yearly Revenue]]/12</f>
        <v>0</v>
      </c>
      <c r="V223">
        <v>25</v>
      </c>
      <c r="W223">
        <v>5</v>
      </c>
      <c r="X223">
        <v>100</v>
      </c>
      <c r="Y223">
        <v>1</v>
      </c>
      <c r="Z223">
        <v>10000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54" x14ac:dyDescent="0.3">
      <c r="A224">
        <v>2</v>
      </c>
      <c r="B224" s="4">
        <v>44928</v>
      </c>
      <c r="C224" s="4">
        <v>44995</v>
      </c>
      <c r="D224">
        <v>33</v>
      </c>
      <c r="E224" t="s">
        <v>904</v>
      </c>
      <c r="F224">
        <v>253</v>
      </c>
      <c r="G224" t="s">
        <v>1270</v>
      </c>
      <c r="H224" t="s">
        <v>173</v>
      </c>
      <c r="I224" t="s">
        <v>1439</v>
      </c>
      <c r="J224" t="s">
        <v>907</v>
      </c>
      <c r="K224">
        <v>3</v>
      </c>
      <c r="L224">
        <v>2</v>
      </c>
      <c r="M224">
        <v>1</v>
      </c>
      <c r="N224">
        <v>0</v>
      </c>
      <c r="O224">
        <v>0</v>
      </c>
      <c r="P224" t="s">
        <v>69</v>
      </c>
      <c r="Q224">
        <v>2020</v>
      </c>
      <c r="R224" t="s">
        <v>86</v>
      </c>
      <c r="S224" t="s">
        <v>87</v>
      </c>
      <c r="U224">
        <f>shark_tank__1[[#This Row],[Cleaned Yearly Revenue]]/12</f>
        <v>0</v>
      </c>
      <c r="X224">
        <v>70</v>
      </c>
      <c r="Y224">
        <v>1</v>
      </c>
      <c r="Z224">
        <v>7000</v>
      </c>
      <c r="AA224">
        <v>1</v>
      </c>
      <c r="AB224">
        <v>1</v>
      </c>
      <c r="AC224">
        <v>10</v>
      </c>
      <c r="AD224">
        <v>1</v>
      </c>
      <c r="AE224">
        <v>60</v>
      </c>
      <c r="AF224">
        <v>10</v>
      </c>
      <c r="AG224">
        <v>1000</v>
      </c>
      <c r="AH224">
        <v>1</v>
      </c>
      <c r="AZ224">
        <v>10</v>
      </c>
      <c r="BA224">
        <v>1</v>
      </c>
      <c r="BB224">
        <v>60</v>
      </c>
    </row>
    <row r="225" spans="1:59" x14ac:dyDescent="0.3">
      <c r="A225">
        <v>2</v>
      </c>
      <c r="B225" s="4">
        <v>44928</v>
      </c>
      <c r="C225" s="4">
        <v>44995</v>
      </c>
      <c r="D225">
        <v>33</v>
      </c>
      <c r="E225" t="s">
        <v>904</v>
      </c>
      <c r="F225">
        <v>254</v>
      </c>
      <c r="G225" t="s">
        <v>1271</v>
      </c>
      <c r="H225" t="s">
        <v>66</v>
      </c>
      <c r="I225" t="s">
        <v>909</v>
      </c>
      <c r="J225" t="s">
        <v>910</v>
      </c>
      <c r="K225">
        <v>2</v>
      </c>
      <c r="L225">
        <v>2</v>
      </c>
      <c r="M225">
        <v>0</v>
      </c>
      <c r="N225">
        <v>0</v>
      </c>
      <c r="O225">
        <v>0</v>
      </c>
      <c r="P225" t="s">
        <v>69</v>
      </c>
      <c r="Q225" t="s">
        <v>1309</v>
      </c>
      <c r="R225" t="s">
        <v>165</v>
      </c>
      <c r="S225" t="s">
        <v>99</v>
      </c>
      <c r="T225">
        <v>-1</v>
      </c>
      <c r="U225">
        <f>shark_tank__1[[#This Row],[Cleaned Yearly Revenue]]/12</f>
        <v>-8.3333333333333329E-2</v>
      </c>
      <c r="X225">
        <v>50</v>
      </c>
      <c r="Y225">
        <v>5</v>
      </c>
      <c r="Z225">
        <v>1000</v>
      </c>
      <c r="AA225">
        <v>1</v>
      </c>
      <c r="AB225">
        <v>1</v>
      </c>
      <c r="AC225">
        <v>50</v>
      </c>
      <c r="AD225">
        <v>5</v>
      </c>
      <c r="AE225">
        <v>0</v>
      </c>
      <c r="AF225">
        <v>0</v>
      </c>
      <c r="AG225">
        <v>1000</v>
      </c>
      <c r="AH225">
        <v>2</v>
      </c>
      <c r="AW225">
        <v>25</v>
      </c>
      <c r="AX225">
        <v>2.5</v>
      </c>
      <c r="AZ225">
        <v>25</v>
      </c>
      <c r="BA225">
        <v>2.5</v>
      </c>
    </row>
    <row r="226" spans="1:59" x14ac:dyDescent="0.3">
      <c r="A226">
        <v>2</v>
      </c>
      <c r="B226" s="4">
        <v>44928</v>
      </c>
      <c r="C226" s="4">
        <v>44995</v>
      </c>
      <c r="D226">
        <v>33</v>
      </c>
      <c r="E226" t="s">
        <v>904</v>
      </c>
      <c r="F226">
        <v>255</v>
      </c>
      <c r="G226" t="s">
        <v>911</v>
      </c>
      <c r="H226" t="s">
        <v>79</v>
      </c>
      <c r="I226" t="s">
        <v>912</v>
      </c>
      <c r="J226" t="s">
        <v>913</v>
      </c>
      <c r="K226">
        <v>2</v>
      </c>
      <c r="L226">
        <v>2</v>
      </c>
      <c r="M226">
        <v>0</v>
      </c>
      <c r="N226">
        <v>0</v>
      </c>
      <c r="O226">
        <v>0</v>
      </c>
      <c r="P226" t="s">
        <v>69</v>
      </c>
      <c r="Q226" t="s">
        <v>1309</v>
      </c>
      <c r="R226" t="s">
        <v>134</v>
      </c>
      <c r="S226" t="s">
        <v>99</v>
      </c>
      <c r="T226">
        <v>-1</v>
      </c>
      <c r="U226">
        <f>shark_tank__1[[#This Row],[Cleaned Yearly Revenue]]/12</f>
        <v>-8.3333333333333329E-2</v>
      </c>
      <c r="V226">
        <v>63</v>
      </c>
      <c r="X226">
        <v>70</v>
      </c>
      <c r="Y226">
        <v>1</v>
      </c>
      <c r="Z226">
        <v>7000</v>
      </c>
      <c r="AA226">
        <v>1</v>
      </c>
      <c r="AB226">
        <v>1</v>
      </c>
      <c r="AC226">
        <v>50</v>
      </c>
      <c r="AD226">
        <v>2.5</v>
      </c>
      <c r="AE226">
        <v>20</v>
      </c>
      <c r="AF226">
        <v>12</v>
      </c>
      <c r="AG226">
        <v>2000</v>
      </c>
      <c r="AH226">
        <v>1</v>
      </c>
      <c r="AI226" t="s">
        <v>804</v>
      </c>
      <c r="AT226">
        <v>50</v>
      </c>
      <c r="AU226">
        <v>2.5</v>
      </c>
      <c r="AV226">
        <v>20</v>
      </c>
    </row>
    <row r="227" spans="1:59" x14ac:dyDescent="0.3">
      <c r="A227">
        <v>2</v>
      </c>
      <c r="B227" s="4">
        <v>44928</v>
      </c>
      <c r="C227" s="4">
        <v>44995</v>
      </c>
      <c r="D227">
        <v>34</v>
      </c>
      <c r="E227" t="s">
        <v>914</v>
      </c>
      <c r="F227">
        <v>256</v>
      </c>
      <c r="G227" t="s">
        <v>915</v>
      </c>
      <c r="H227" t="s">
        <v>635</v>
      </c>
      <c r="I227" t="s">
        <v>916</v>
      </c>
      <c r="J227" t="s">
        <v>917</v>
      </c>
      <c r="K227">
        <v>2</v>
      </c>
      <c r="L227">
        <v>2</v>
      </c>
      <c r="M227">
        <v>0</v>
      </c>
      <c r="N227">
        <v>0</v>
      </c>
      <c r="O227">
        <v>0</v>
      </c>
      <c r="P227" t="s">
        <v>75</v>
      </c>
      <c r="Q227" t="s">
        <v>1309</v>
      </c>
      <c r="R227" t="s">
        <v>918</v>
      </c>
      <c r="S227" t="s">
        <v>919</v>
      </c>
      <c r="T227">
        <v>-1</v>
      </c>
      <c r="U227">
        <f>shark_tank__1[[#This Row],[Cleaned Yearly Revenue]]/12</f>
        <v>-8.3333333333333329E-2</v>
      </c>
      <c r="V227">
        <v>57</v>
      </c>
      <c r="X227">
        <v>80</v>
      </c>
      <c r="Y227">
        <v>1</v>
      </c>
      <c r="Z227">
        <v>8000</v>
      </c>
      <c r="AA227">
        <v>1</v>
      </c>
      <c r="AB227">
        <v>1</v>
      </c>
      <c r="AC227">
        <v>80</v>
      </c>
      <c r="AD227">
        <v>2.5</v>
      </c>
      <c r="AE227">
        <v>0</v>
      </c>
      <c r="AF227">
        <v>0</v>
      </c>
      <c r="AG227">
        <v>3200</v>
      </c>
      <c r="AH227">
        <v>3</v>
      </c>
      <c r="AN227">
        <v>26.66</v>
      </c>
      <c r="AO227">
        <v>0.83299999999999996</v>
      </c>
      <c r="AT227">
        <v>26.66</v>
      </c>
      <c r="AU227">
        <v>0.83299999999999996</v>
      </c>
      <c r="AZ227">
        <v>26.66</v>
      </c>
      <c r="BA227">
        <v>0.83299999999999996</v>
      </c>
    </row>
    <row r="228" spans="1:59" x14ac:dyDescent="0.3">
      <c r="A228">
        <v>2</v>
      </c>
      <c r="B228" s="4">
        <v>44928</v>
      </c>
      <c r="C228" s="4">
        <v>44995</v>
      </c>
      <c r="D228">
        <v>34</v>
      </c>
      <c r="E228" t="s">
        <v>914</v>
      </c>
      <c r="F228">
        <v>257</v>
      </c>
      <c r="G228" t="s">
        <v>1440</v>
      </c>
      <c r="H228" t="s">
        <v>79</v>
      </c>
      <c r="I228" t="s">
        <v>1441</v>
      </c>
      <c r="J228" t="s">
        <v>922</v>
      </c>
      <c r="K228">
        <v>2</v>
      </c>
      <c r="L228">
        <v>0</v>
      </c>
      <c r="M228">
        <v>2</v>
      </c>
      <c r="N228">
        <v>0</v>
      </c>
      <c r="O228">
        <v>0</v>
      </c>
      <c r="P228" t="s">
        <v>69</v>
      </c>
      <c r="Q228">
        <v>2017</v>
      </c>
      <c r="R228" t="s">
        <v>155</v>
      </c>
      <c r="S228" t="s">
        <v>156</v>
      </c>
      <c r="T228">
        <v>180</v>
      </c>
      <c r="U228">
        <f>shark_tank__1[[#This Row],[Cleaned Yearly Revenue]]/12</f>
        <v>15</v>
      </c>
      <c r="V228">
        <v>83</v>
      </c>
      <c r="W228">
        <v>20</v>
      </c>
      <c r="X228">
        <v>75</v>
      </c>
      <c r="Y228">
        <v>6</v>
      </c>
      <c r="Z228">
        <v>1250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59" x14ac:dyDescent="0.3">
      <c r="A229">
        <v>2</v>
      </c>
      <c r="B229" s="4">
        <v>44928</v>
      </c>
      <c r="C229" s="4">
        <v>44995</v>
      </c>
      <c r="D229">
        <v>34</v>
      </c>
      <c r="E229" t="s">
        <v>914</v>
      </c>
      <c r="F229">
        <v>258</v>
      </c>
      <c r="G229" t="s">
        <v>1273</v>
      </c>
      <c r="H229" t="s">
        <v>173</v>
      </c>
      <c r="I229" t="s">
        <v>1442</v>
      </c>
      <c r="J229" t="s">
        <v>925</v>
      </c>
      <c r="K229">
        <v>3</v>
      </c>
      <c r="L229">
        <v>3</v>
      </c>
      <c r="M229">
        <v>0</v>
      </c>
      <c r="N229">
        <v>0</v>
      </c>
      <c r="O229">
        <v>0</v>
      </c>
      <c r="P229" t="s">
        <v>69</v>
      </c>
      <c r="Q229">
        <v>2019</v>
      </c>
      <c r="R229" t="s">
        <v>155</v>
      </c>
      <c r="S229" t="s">
        <v>156</v>
      </c>
      <c r="T229">
        <v>0</v>
      </c>
      <c r="U229">
        <f>shark_tank__1[[#This Row],[Cleaned Yearly Revenue]]/12</f>
        <v>0</v>
      </c>
      <c r="X229">
        <v>40</v>
      </c>
      <c r="Y229">
        <v>5</v>
      </c>
      <c r="Z229">
        <v>800</v>
      </c>
      <c r="AA229">
        <v>1</v>
      </c>
      <c r="AB229">
        <v>1</v>
      </c>
      <c r="AC229">
        <v>50</v>
      </c>
      <c r="AD229">
        <v>10</v>
      </c>
      <c r="AE229">
        <v>0</v>
      </c>
      <c r="AF229">
        <v>0</v>
      </c>
      <c r="AG229">
        <v>500</v>
      </c>
      <c r="AH229">
        <v>1</v>
      </c>
      <c r="AZ229">
        <v>50</v>
      </c>
      <c r="BA229">
        <v>10</v>
      </c>
    </row>
    <row r="230" spans="1:59" x14ac:dyDescent="0.3">
      <c r="A230">
        <v>2</v>
      </c>
      <c r="B230" s="4">
        <v>44928</v>
      </c>
      <c r="C230" s="4">
        <v>44995</v>
      </c>
      <c r="D230">
        <v>35</v>
      </c>
      <c r="E230" t="s">
        <v>926</v>
      </c>
      <c r="F230">
        <v>259</v>
      </c>
      <c r="G230" t="s">
        <v>1274</v>
      </c>
      <c r="H230" t="s">
        <v>173</v>
      </c>
      <c r="I230" t="s">
        <v>1443</v>
      </c>
      <c r="J230" t="s">
        <v>929</v>
      </c>
      <c r="K230">
        <v>2</v>
      </c>
      <c r="L230">
        <v>2</v>
      </c>
      <c r="M230">
        <v>0</v>
      </c>
      <c r="N230">
        <v>0</v>
      </c>
      <c r="O230">
        <v>0</v>
      </c>
      <c r="P230" t="s">
        <v>69</v>
      </c>
      <c r="Q230" t="s">
        <v>1309</v>
      </c>
      <c r="R230" t="s">
        <v>70</v>
      </c>
      <c r="S230" t="s">
        <v>70</v>
      </c>
      <c r="T230">
        <v>240</v>
      </c>
      <c r="U230">
        <f>shark_tank__1[[#This Row],[Cleaned Yearly Revenue]]/12</f>
        <v>20</v>
      </c>
      <c r="W230">
        <v>24</v>
      </c>
      <c r="X230">
        <v>200</v>
      </c>
      <c r="Y230">
        <v>1</v>
      </c>
      <c r="Z230">
        <v>20000</v>
      </c>
      <c r="AA230">
        <v>1</v>
      </c>
      <c r="AB230">
        <v>1</v>
      </c>
      <c r="AC230">
        <v>200</v>
      </c>
      <c r="AD230">
        <v>2</v>
      </c>
      <c r="AE230">
        <v>0</v>
      </c>
      <c r="AF230">
        <v>0</v>
      </c>
      <c r="AG230">
        <v>10000</v>
      </c>
      <c r="AH230">
        <v>3</v>
      </c>
      <c r="AN230">
        <v>66.66</v>
      </c>
      <c r="AO230">
        <v>0.66600000000000004</v>
      </c>
      <c r="AW230">
        <v>66.66</v>
      </c>
      <c r="AX230">
        <v>0.66600000000000004</v>
      </c>
      <c r="AZ230">
        <v>66.66</v>
      </c>
      <c r="BA230">
        <v>0.66600000000000004</v>
      </c>
    </row>
    <row r="231" spans="1:59" x14ac:dyDescent="0.3">
      <c r="A231">
        <v>2</v>
      </c>
      <c r="B231" s="4">
        <v>44928</v>
      </c>
      <c r="C231" s="4">
        <v>44995</v>
      </c>
      <c r="D231">
        <v>35</v>
      </c>
      <c r="E231" t="s">
        <v>926</v>
      </c>
      <c r="F231">
        <v>260</v>
      </c>
      <c r="G231" t="s">
        <v>930</v>
      </c>
      <c r="H231" t="s">
        <v>66</v>
      </c>
      <c r="I231" t="s">
        <v>931</v>
      </c>
      <c r="J231" t="s">
        <v>1309</v>
      </c>
      <c r="K231">
        <v>2</v>
      </c>
      <c r="L231">
        <v>0</v>
      </c>
      <c r="M231">
        <v>2</v>
      </c>
      <c r="N231">
        <v>0</v>
      </c>
      <c r="O231">
        <v>0</v>
      </c>
      <c r="P231" t="s">
        <v>69</v>
      </c>
      <c r="Q231" t="s">
        <v>1309</v>
      </c>
      <c r="R231" t="s">
        <v>185</v>
      </c>
      <c r="S231" t="s">
        <v>186</v>
      </c>
      <c r="T231">
        <v>36</v>
      </c>
      <c r="U231">
        <f>shark_tank__1[[#This Row],[Cleaned Yearly Revenue]]/12</f>
        <v>3</v>
      </c>
      <c r="V231">
        <v>60</v>
      </c>
      <c r="W231">
        <v>40</v>
      </c>
      <c r="X231">
        <v>25</v>
      </c>
      <c r="Y231">
        <v>5</v>
      </c>
      <c r="Z231">
        <v>500</v>
      </c>
      <c r="AA231">
        <v>1</v>
      </c>
      <c r="AB231">
        <v>1</v>
      </c>
      <c r="AC231">
        <v>25</v>
      </c>
      <c r="AD231">
        <v>20</v>
      </c>
      <c r="AE231">
        <v>0</v>
      </c>
      <c r="AF231">
        <v>0</v>
      </c>
      <c r="AG231">
        <v>125</v>
      </c>
      <c r="AH231">
        <v>1</v>
      </c>
      <c r="BF231">
        <v>25</v>
      </c>
      <c r="BG231">
        <v>20</v>
      </c>
    </row>
    <row r="232" spans="1:59" x14ac:dyDescent="0.3">
      <c r="A232">
        <v>2</v>
      </c>
      <c r="B232" s="4">
        <v>44928</v>
      </c>
      <c r="C232" s="4">
        <v>44995</v>
      </c>
      <c r="D232">
        <v>35</v>
      </c>
      <c r="E232" t="s">
        <v>926</v>
      </c>
      <c r="F232">
        <v>261</v>
      </c>
      <c r="G232" t="s">
        <v>1444</v>
      </c>
      <c r="H232" t="s">
        <v>448</v>
      </c>
      <c r="I232" t="s">
        <v>1445</v>
      </c>
      <c r="J232" t="s">
        <v>934</v>
      </c>
      <c r="K232">
        <v>2</v>
      </c>
      <c r="L232">
        <v>2</v>
      </c>
      <c r="M232">
        <v>0</v>
      </c>
      <c r="N232">
        <v>0</v>
      </c>
      <c r="O232">
        <v>0</v>
      </c>
      <c r="P232" t="s">
        <v>69</v>
      </c>
      <c r="Q232" t="s">
        <v>1309</v>
      </c>
      <c r="R232" t="s">
        <v>134</v>
      </c>
      <c r="S232" t="s">
        <v>99</v>
      </c>
      <c r="U232">
        <f>shark_tank__1[[#This Row],[Cleaned Yearly Revenue]]/12</f>
        <v>0</v>
      </c>
      <c r="X232">
        <v>80</v>
      </c>
      <c r="Y232">
        <v>1</v>
      </c>
      <c r="Z232">
        <v>8000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59" x14ac:dyDescent="0.3">
      <c r="A233">
        <v>2</v>
      </c>
      <c r="B233" s="4">
        <v>44928</v>
      </c>
      <c r="C233" s="4">
        <v>44995</v>
      </c>
      <c r="D233">
        <v>35</v>
      </c>
      <c r="E233" t="s">
        <v>926</v>
      </c>
      <c r="F233">
        <v>262</v>
      </c>
      <c r="G233" t="s">
        <v>935</v>
      </c>
      <c r="H233" t="s">
        <v>182</v>
      </c>
      <c r="I233" t="s">
        <v>1446</v>
      </c>
      <c r="J233" t="s">
        <v>937</v>
      </c>
      <c r="K233">
        <v>1</v>
      </c>
      <c r="L233">
        <v>1</v>
      </c>
      <c r="M233">
        <v>0</v>
      </c>
      <c r="N233">
        <v>0</v>
      </c>
      <c r="O233">
        <v>0</v>
      </c>
      <c r="P233" t="s">
        <v>69</v>
      </c>
      <c r="Q233" t="s">
        <v>1309</v>
      </c>
      <c r="R233" t="s">
        <v>938</v>
      </c>
      <c r="S233" t="s">
        <v>93</v>
      </c>
      <c r="T233">
        <v>4500</v>
      </c>
      <c r="U233">
        <f>shark_tank__1[[#This Row],[Cleaned Yearly Revenue]]/12</f>
        <v>375</v>
      </c>
      <c r="W233">
        <v>15</v>
      </c>
      <c r="X233">
        <v>125</v>
      </c>
      <c r="Y233">
        <v>0.5</v>
      </c>
      <c r="Z233">
        <v>25000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59" x14ac:dyDescent="0.3">
      <c r="A234">
        <v>2</v>
      </c>
      <c r="B234" s="4">
        <v>44928</v>
      </c>
      <c r="C234" s="4">
        <v>44995</v>
      </c>
      <c r="D234">
        <v>36</v>
      </c>
      <c r="E234" t="s">
        <v>939</v>
      </c>
      <c r="F234">
        <v>263</v>
      </c>
      <c r="G234" t="s">
        <v>1492</v>
      </c>
      <c r="H234" t="s">
        <v>173</v>
      </c>
      <c r="I234" t="s">
        <v>1447</v>
      </c>
      <c r="J234" t="s">
        <v>942</v>
      </c>
      <c r="K234">
        <v>2</v>
      </c>
      <c r="L234">
        <v>1</v>
      </c>
      <c r="M234">
        <v>1</v>
      </c>
      <c r="N234">
        <v>0</v>
      </c>
      <c r="O234">
        <v>1</v>
      </c>
      <c r="P234" t="s">
        <v>75</v>
      </c>
      <c r="Q234">
        <v>2022</v>
      </c>
      <c r="R234" t="s">
        <v>417</v>
      </c>
      <c r="S234" t="s">
        <v>345</v>
      </c>
      <c r="T234">
        <v>-1</v>
      </c>
      <c r="U234">
        <f>shark_tank__1[[#This Row],[Cleaned Yearly Revenue]]/12</f>
        <v>-8.3333333333333329E-2</v>
      </c>
      <c r="X234">
        <v>100</v>
      </c>
      <c r="Y234">
        <v>2</v>
      </c>
      <c r="Z234">
        <v>5000</v>
      </c>
      <c r="AA234">
        <v>1</v>
      </c>
      <c r="AB234">
        <v>1</v>
      </c>
      <c r="AC234">
        <v>100</v>
      </c>
      <c r="AD234">
        <v>5.4</v>
      </c>
      <c r="AE234">
        <v>0</v>
      </c>
      <c r="AF234">
        <v>0</v>
      </c>
      <c r="AG234">
        <v>1851.851852</v>
      </c>
      <c r="AH234">
        <v>2</v>
      </c>
      <c r="AW234">
        <v>50</v>
      </c>
      <c r="AX234">
        <v>2.7</v>
      </c>
      <c r="AZ234">
        <v>50</v>
      </c>
      <c r="BA234">
        <v>2.7</v>
      </c>
    </row>
    <row r="235" spans="1:59" x14ac:dyDescent="0.3">
      <c r="A235">
        <v>2</v>
      </c>
      <c r="B235" s="4">
        <v>44928</v>
      </c>
      <c r="C235" s="4">
        <v>44995</v>
      </c>
      <c r="D235">
        <v>36</v>
      </c>
      <c r="E235" t="s">
        <v>939</v>
      </c>
      <c r="F235">
        <v>264</v>
      </c>
      <c r="G235" t="s">
        <v>943</v>
      </c>
      <c r="H235" t="s">
        <v>66</v>
      </c>
      <c r="I235" t="s">
        <v>1448</v>
      </c>
      <c r="J235" t="s">
        <v>945</v>
      </c>
      <c r="K235">
        <v>3</v>
      </c>
      <c r="L235">
        <v>2</v>
      </c>
      <c r="M235">
        <v>1</v>
      </c>
      <c r="N235">
        <v>0</v>
      </c>
      <c r="O235">
        <v>0</v>
      </c>
      <c r="P235" t="s">
        <v>69</v>
      </c>
      <c r="Q235">
        <v>2017</v>
      </c>
      <c r="R235" t="s">
        <v>946</v>
      </c>
      <c r="S235" t="s">
        <v>236</v>
      </c>
      <c r="T235">
        <v>110</v>
      </c>
      <c r="U235">
        <f>shark_tank__1[[#This Row],[Cleaned Yearly Revenue]]/12</f>
        <v>9.1666666666666661</v>
      </c>
      <c r="X235">
        <v>50</v>
      </c>
      <c r="Y235">
        <v>2</v>
      </c>
      <c r="Z235">
        <v>2500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59" x14ac:dyDescent="0.3">
      <c r="A236">
        <v>2</v>
      </c>
      <c r="B236" s="4">
        <v>44928</v>
      </c>
      <c r="C236" s="4">
        <v>44995</v>
      </c>
      <c r="D236">
        <v>36</v>
      </c>
      <c r="E236" t="s">
        <v>939</v>
      </c>
      <c r="F236">
        <v>265</v>
      </c>
      <c r="G236" t="s">
        <v>1275</v>
      </c>
      <c r="H236" t="s">
        <v>225</v>
      </c>
      <c r="I236" t="s">
        <v>1449</v>
      </c>
      <c r="J236" t="s">
        <v>949</v>
      </c>
      <c r="K236">
        <v>2</v>
      </c>
      <c r="L236">
        <v>2</v>
      </c>
      <c r="M236">
        <v>0</v>
      </c>
      <c r="N236">
        <v>0</v>
      </c>
      <c r="O236">
        <v>0</v>
      </c>
      <c r="P236" t="s">
        <v>69</v>
      </c>
      <c r="Q236" t="s">
        <v>1309</v>
      </c>
      <c r="R236" t="s">
        <v>938</v>
      </c>
      <c r="S236" t="s">
        <v>93</v>
      </c>
      <c r="T236">
        <v>0</v>
      </c>
      <c r="U236">
        <f>shark_tank__1[[#This Row],[Cleaned Yearly Revenue]]/12</f>
        <v>0</v>
      </c>
      <c r="X236">
        <v>45</v>
      </c>
      <c r="Y236">
        <v>10</v>
      </c>
      <c r="Z236">
        <v>450</v>
      </c>
      <c r="AA236">
        <v>1</v>
      </c>
      <c r="AB236">
        <v>1</v>
      </c>
      <c r="AC236">
        <v>45</v>
      </c>
      <c r="AD236">
        <v>25</v>
      </c>
      <c r="AE236">
        <v>0</v>
      </c>
      <c r="AF236">
        <v>0</v>
      </c>
      <c r="AG236">
        <v>180</v>
      </c>
      <c r="AH236">
        <v>1</v>
      </c>
      <c r="AI236" t="s">
        <v>804</v>
      </c>
      <c r="AN236">
        <v>45</v>
      </c>
      <c r="AO236">
        <v>25</v>
      </c>
    </row>
    <row r="237" spans="1:59" x14ac:dyDescent="0.3">
      <c r="A237">
        <v>2</v>
      </c>
      <c r="B237" s="4">
        <v>44928</v>
      </c>
      <c r="C237" s="4">
        <v>44995</v>
      </c>
      <c r="D237">
        <v>37</v>
      </c>
      <c r="E237" t="s">
        <v>950</v>
      </c>
      <c r="F237">
        <v>266</v>
      </c>
      <c r="G237" t="s">
        <v>951</v>
      </c>
      <c r="H237" t="s">
        <v>66</v>
      </c>
      <c r="I237" t="s">
        <v>1450</v>
      </c>
      <c r="J237" t="s">
        <v>953</v>
      </c>
      <c r="K237">
        <v>2</v>
      </c>
      <c r="L237">
        <v>1</v>
      </c>
      <c r="M237">
        <v>1</v>
      </c>
      <c r="N237">
        <v>0</v>
      </c>
      <c r="O237">
        <v>1</v>
      </c>
      <c r="P237" t="s">
        <v>69</v>
      </c>
      <c r="Q237" t="s">
        <v>1309</v>
      </c>
      <c r="R237" t="s">
        <v>155</v>
      </c>
      <c r="S237" t="s">
        <v>156</v>
      </c>
      <c r="T237">
        <v>120</v>
      </c>
      <c r="U237">
        <f>shark_tank__1[[#This Row],[Cleaned Yearly Revenue]]/12</f>
        <v>10</v>
      </c>
      <c r="X237">
        <v>75</v>
      </c>
      <c r="Y237">
        <v>5</v>
      </c>
      <c r="Z237">
        <v>1500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59" x14ac:dyDescent="0.3">
      <c r="A238">
        <v>2</v>
      </c>
      <c r="B238" s="4">
        <v>44928</v>
      </c>
      <c r="C238" s="4">
        <v>44995</v>
      </c>
      <c r="D238">
        <v>37</v>
      </c>
      <c r="E238" t="s">
        <v>950</v>
      </c>
      <c r="F238">
        <v>267</v>
      </c>
      <c r="G238" t="s">
        <v>954</v>
      </c>
      <c r="H238" t="s">
        <v>72</v>
      </c>
      <c r="I238" t="s">
        <v>1451</v>
      </c>
      <c r="J238" t="s">
        <v>956</v>
      </c>
      <c r="K238">
        <v>2</v>
      </c>
      <c r="L238">
        <v>2</v>
      </c>
      <c r="M238">
        <v>0</v>
      </c>
      <c r="N238">
        <v>0</v>
      </c>
      <c r="O238">
        <v>0</v>
      </c>
      <c r="P238" t="s">
        <v>69</v>
      </c>
      <c r="Q238" t="s">
        <v>1309</v>
      </c>
      <c r="R238" t="s">
        <v>143</v>
      </c>
      <c r="S238" t="s">
        <v>144</v>
      </c>
      <c r="U238">
        <f>shark_tank__1[[#This Row],[Cleaned Yearly Revenue]]/12</f>
        <v>0</v>
      </c>
      <c r="X238">
        <v>50</v>
      </c>
      <c r="Y238">
        <v>1</v>
      </c>
      <c r="Z238">
        <v>5000</v>
      </c>
      <c r="AA238">
        <v>1</v>
      </c>
      <c r="AB238">
        <v>1</v>
      </c>
      <c r="AC238">
        <v>50</v>
      </c>
      <c r="AD238">
        <v>2.5</v>
      </c>
      <c r="AE238">
        <v>0</v>
      </c>
      <c r="AF238">
        <v>0</v>
      </c>
      <c r="AG238">
        <v>2000</v>
      </c>
      <c r="AH238">
        <v>1</v>
      </c>
      <c r="AI238" t="s">
        <v>804</v>
      </c>
      <c r="AJ238">
        <v>1</v>
      </c>
      <c r="BF238">
        <v>50</v>
      </c>
      <c r="BG238">
        <v>2.5</v>
      </c>
    </row>
    <row r="239" spans="1:59" x14ac:dyDescent="0.3">
      <c r="A239">
        <v>2</v>
      </c>
      <c r="B239" s="4">
        <v>44928</v>
      </c>
      <c r="C239" s="4">
        <v>44995</v>
      </c>
      <c r="D239">
        <v>37</v>
      </c>
      <c r="E239" t="s">
        <v>950</v>
      </c>
      <c r="F239">
        <v>268</v>
      </c>
      <c r="G239" t="s">
        <v>957</v>
      </c>
      <c r="H239" t="s">
        <v>597</v>
      </c>
      <c r="I239" t="s">
        <v>958</v>
      </c>
      <c r="J239" t="s">
        <v>959</v>
      </c>
      <c r="K239">
        <v>2</v>
      </c>
      <c r="L239">
        <v>2</v>
      </c>
      <c r="M239">
        <v>0</v>
      </c>
      <c r="N239">
        <v>0</v>
      </c>
      <c r="O239">
        <v>0</v>
      </c>
      <c r="P239" t="s">
        <v>69</v>
      </c>
      <c r="Q239" t="s">
        <v>1309</v>
      </c>
      <c r="R239" t="s">
        <v>134</v>
      </c>
      <c r="S239" t="s">
        <v>99</v>
      </c>
      <c r="T239">
        <v>270</v>
      </c>
      <c r="U239">
        <f>shark_tank__1[[#This Row],[Cleaned Yearly Revenue]]/12</f>
        <v>22.5</v>
      </c>
      <c r="V239">
        <v>56</v>
      </c>
      <c r="W239">
        <v>13</v>
      </c>
      <c r="X239">
        <v>50</v>
      </c>
      <c r="Y239">
        <v>1</v>
      </c>
      <c r="Z239">
        <v>5000</v>
      </c>
      <c r="AA239">
        <v>1</v>
      </c>
      <c r="AB239">
        <v>1</v>
      </c>
      <c r="AC239">
        <v>50</v>
      </c>
      <c r="AD239">
        <v>3</v>
      </c>
      <c r="AE239">
        <v>0</v>
      </c>
      <c r="AF239">
        <v>0</v>
      </c>
      <c r="AG239">
        <v>1666.666667</v>
      </c>
      <c r="AH239">
        <v>2</v>
      </c>
      <c r="AW239">
        <v>25</v>
      </c>
      <c r="AX239">
        <v>1.5</v>
      </c>
      <c r="AZ239">
        <v>25</v>
      </c>
      <c r="BA239">
        <v>1.5</v>
      </c>
    </row>
    <row r="240" spans="1:59" x14ac:dyDescent="0.3">
      <c r="A240">
        <v>2</v>
      </c>
      <c r="B240" s="4">
        <v>44928</v>
      </c>
      <c r="C240" s="4">
        <v>44995</v>
      </c>
      <c r="D240">
        <v>37</v>
      </c>
      <c r="E240" t="s">
        <v>950</v>
      </c>
      <c r="F240">
        <v>269</v>
      </c>
      <c r="G240" t="s">
        <v>1493</v>
      </c>
      <c r="H240" t="s">
        <v>182</v>
      </c>
      <c r="I240" t="s">
        <v>961</v>
      </c>
      <c r="J240" t="s">
        <v>962</v>
      </c>
      <c r="K240">
        <v>1</v>
      </c>
      <c r="L240">
        <v>1</v>
      </c>
      <c r="M240">
        <v>0</v>
      </c>
      <c r="N240">
        <v>0</v>
      </c>
      <c r="O240">
        <v>0</v>
      </c>
      <c r="P240" t="s">
        <v>69</v>
      </c>
      <c r="Q240">
        <v>2017</v>
      </c>
      <c r="R240" t="s">
        <v>963</v>
      </c>
      <c r="S240" t="s">
        <v>196</v>
      </c>
      <c r="T240">
        <v>110</v>
      </c>
      <c r="U240">
        <f>shark_tank__1[[#This Row],[Cleaned Yearly Revenue]]/12</f>
        <v>9.1666666666666661</v>
      </c>
      <c r="X240">
        <v>80</v>
      </c>
      <c r="Y240">
        <v>2</v>
      </c>
      <c r="Z240">
        <v>4000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J240">
        <v>1</v>
      </c>
    </row>
    <row r="241" spans="1:59" x14ac:dyDescent="0.3">
      <c r="A241">
        <v>2</v>
      </c>
      <c r="B241" s="4">
        <v>44928</v>
      </c>
      <c r="C241" s="4">
        <v>44995</v>
      </c>
      <c r="D241">
        <v>38</v>
      </c>
      <c r="E241" t="s">
        <v>964</v>
      </c>
      <c r="F241">
        <v>270</v>
      </c>
      <c r="G241" t="s">
        <v>1277</v>
      </c>
      <c r="H241" t="s">
        <v>597</v>
      </c>
      <c r="I241" t="s">
        <v>966</v>
      </c>
      <c r="J241" t="s">
        <v>1309</v>
      </c>
      <c r="K241">
        <v>2</v>
      </c>
      <c r="L241">
        <v>2</v>
      </c>
      <c r="M241">
        <v>0</v>
      </c>
      <c r="N241">
        <v>0</v>
      </c>
      <c r="O241">
        <v>0</v>
      </c>
      <c r="P241" t="s">
        <v>69</v>
      </c>
      <c r="Q241" t="s">
        <v>1309</v>
      </c>
      <c r="R241" t="s">
        <v>436</v>
      </c>
      <c r="S241" t="s">
        <v>436</v>
      </c>
      <c r="T241">
        <v>1200</v>
      </c>
      <c r="U241">
        <f>shark_tank__1[[#This Row],[Cleaned Yearly Revenue]]/12</f>
        <v>100</v>
      </c>
      <c r="X241">
        <v>100</v>
      </c>
      <c r="Y241">
        <v>1</v>
      </c>
      <c r="Z241">
        <v>10000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59" x14ac:dyDescent="0.3">
      <c r="A242">
        <v>2</v>
      </c>
      <c r="B242" s="4">
        <v>44928</v>
      </c>
      <c r="C242" s="4">
        <v>44995</v>
      </c>
      <c r="D242">
        <v>38</v>
      </c>
      <c r="E242" t="s">
        <v>964</v>
      </c>
      <c r="F242">
        <v>271</v>
      </c>
      <c r="G242" t="s">
        <v>967</v>
      </c>
      <c r="H242" t="s">
        <v>66</v>
      </c>
      <c r="I242" t="s">
        <v>968</v>
      </c>
      <c r="J242" t="s">
        <v>969</v>
      </c>
      <c r="K242">
        <v>1</v>
      </c>
      <c r="L242">
        <v>1</v>
      </c>
      <c r="M242">
        <v>0</v>
      </c>
      <c r="N242">
        <v>0</v>
      </c>
      <c r="O242">
        <v>0</v>
      </c>
      <c r="P242" t="s">
        <v>69</v>
      </c>
      <c r="Q242" t="s">
        <v>1309</v>
      </c>
      <c r="R242" t="s">
        <v>134</v>
      </c>
      <c r="S242" t="s">
        <v>99</v>
      </c>
      <c r="T242">
        <v>744</v>
      </c>
      <c r="U242">
        <f>shark_tank__1[[#This Row],[Cleaned Yearly Revenue]]/12</f>
        <v>62</v>
      </c>
      <c r="X242">
        <v>90</v>
      </c>
      <c r="Y242">
        <v>1.5</v>
      </c>
      <c r="Z242">
        <v>6000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59" x14ac:dyDescent="0.3">
      <c r="A243">
        <v>2</v>
      </c>
      <c r="B243" s="4">
        <v>44928</v>
      </c>
      <c r="C243" s="4">
        <v>44995</v>
      </c>
      <c r="D243">
        <v>38</v>
      </c>
      <c r="E243" t="s">
        <v>964</v>
      </c>
      <c r="F243">
        <v>272</v>
      </c>
      <c r="G243" t="s">
        <v>1452</v>
      </c>
      <c r="H243" t="s">
        <v>286</v>
      </c>
      <c r="I243" t="s">
        <v>1453</v>
      </c>
      <c r="J243" t="s">
        <v>972</v>
      </c>
      <c r="K243">
        <v>3</v>
      </c>
      <c r="L243">
        <v>3</v>
      </c>
      <c r="M243">
        <v>0</v>
      </c>
      <c r="N243">
        <v>0</v>
      </c>
      <c r="O243">
        <v>0</v>
      </c>
      <c r="P243" t="s">
        <v>75</v>
      </c>
      <c r="Q243" t="s">
        <v>1309</v>
      </c>
      <c r="R243" t="s">
        <v>417</v>
      </c>
      <c r="S243" t="s">
        <v>345</v>
      </c>
      <c r="U243">
        <f>shark_tank__1[[#This Row],[Cleaned Yearly Revenue]]/12</f>
        <v>0</v>
      </c>
      <c r="X243">
        <v>67</v>
      </c>
      <c r="Y243">
        <v>2</v>
      </c>
      <c r="Z243">
        <v>3350</v>
      </c>
      <c r="AA243">
        <v>1</v>
      </c>
      <c r="AB243">
        <v>1</v>
      </c>
      <c r="AC243">
        <v>67</v>
      </c>
      <c r="AD243">
        <v>3</v>
      </c>
      <c r="AE243">
        <v>0</v>
      </c>
      <c r="AF243">
        <v>0</v>
      </c>
      <c r="AG243">
        <v>2233.333333</v>
      </c>
      <c r="AH243">
        <v>2</v>
      </c>
      <c r="AW243">
        <v>33.5</v>
      </c>
      <c r="AX243">
        <v>1.5</v>
      </c>
      <c r="BF243">
        <v>33.5</v>
      </c>
      <c r="BG243">
        <v>1.5</v>
      </c>
    </row>
    <row r="244" spans="1:59" x14ac:dyDescent="0.3">
      <c r="A244">
        <v>2</v>
      </c>
      <c r="B244" s="4">
        <v>44928</v>
      </c>
      <c r="C244" s="4">
        <v>44995</v>
      </c>
      <c r="D244">
        <v>38</v>
      </c>
      <c r="E244" t="s">
        <v>964</v>
      </c>
      <c r="F244">
        <v>273</v>
      </c>
      <c r="G244" t="s">
        <v>973</v>
      </c>
      <c r="H244" t="s">
        <v>72</v>
      </c>
      <c r="I244" t="s">
        <v>1454</v>
      </c>
      <c r="J244" t="s">
        <v>975</v>
      </c>
      <c r="K244">
        <v>1</v>
      </c>
      <c r="L244">
        <v>1</v>
      </c>
      <c r="M244">
        <v>0</v>
      </c>
      <c r="N244">
        <v>0</v>
      </c>
      <c r="O244">
        <v>0</v>
      </c>
      <c r="P244" t="s">
        <v>69</v>
      </c>
      <c r="Q244" t="s">
        <v>1309</v>
      </c>
      <c r="R244" t="s">
        <v>86</v>
      </c>
      <c r="S244" t="s">
        <v>87</v>
      </c>
      <c r="U244">
        <f>shark_tank__1[[#This Row],[Cleaned Yearly Revenue]]/12</f>
        <v>0</v>
      </c>
      <c r="X244">
        <v>50</v>
      </c>
      <c r="Y244">
        <v>3</v>
      </c>
      <c r="Z244">
        <v>1666.67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59" x14ac:dyDescent="0.3">
      <c r="A245">
        <v>2</v>
      </c>
      <c r="B245" s="4">
        <v>44928</v>
      </c>
      <c r="C245" s="4">
        <v>44995</v>
      </c>
      <c r="D245">
        <v>39</v>
      </c>
      <c r="E245" t="s">
        <v>976</v>
      </c>
      <c r="F245">
        <v>274</v>
      </c>
      <c r="G245" t="s">
        <v>1279</v>
      </c>
      <c r="H245" t="s">
        <v>66</v>
      </c>
      <c r="I245" t="s">
        <v>978</v>
      </c>
      <c r="J245" t="s">
        <v>979</v>
      </c>
      <c r="K245">
        <v>2</v>
      </c>
      <c r="L245">
        <v>1</v>
      </c>
      <c r="M245">
        <v>1</v>
      </c>
      <c r="N245">
        <v>0</v>
      </c>
      <c r="O245">
        <v>0</v>
      </c>
      <c r="P245" t="s">
        <v>69</v>
      </c>
      <c r="Q245">
        <v>2022</v>
      </c>
      <c r="R245" t="s">
        <v>195</v>
      </c>
      <c r="S245" t="s">
        <v>196</v>
      </c>
      <c r="T245">
        <v>-1</v>
      </c>
      <c r="U245">
        <f>shark_tank__1[[#This Row],[Cleaned Yearly Revenue]]/12</f>
        <v>-8.3333333333333329E-2</v>
      </c>
      <c r="X245">
        <v>50</v>
      </c>
      <c r="Y245">
        <v>2</v>
      </c>
      <c r="Z245">
        <v>2500</v>
      </c>
      <c r="AA245">
        <v>1</v>
      </c>
      <c r="AB245">
        <v>1</v>
      </c>
      <c r="AC245">
        <v>50</v>
      </c>
      <c r="AD245">
        <v>3.5</v>
      </c>
      <c r="AE245">
        <v>0</v>
      </c>
      <c r="AF245">
        <v>0</v>
      </c>
      <c r="AG245">
        <v>1428.5714290000001</v>
      </c>
      <c r="AH245">
        <v>3</v>
      </c>
      <c r="AN245">
        <v>16.66</v>
      </c>
      <c r="AO245">
        <v>1.1666000000000001</v>
      </c>
      <c r="AW245">
        <v>16.66</v>
      </c>
      <c r="AX245">
        <v>1.1666000000000001</v>
      </c>
      <c r="BF245">
        <v>16.66</v>
      </c>
      <c r="BG245">
        <v>1.1666000000000001</v>
      </c>
    </row>
    <row r="246" spans="1:59" x14ac:dyDescent="0.3">
      <c r="A246">
        <v>2</v>
      </c>
      <c r="B246" s="4">
        <v>44928</v>
      </c>
      <c r="C246" s="4">
        <v>44995</v>
      </c>
      <c r="D246">
        <v>39</v>
      </c>
      <c r="E246" t="s">
        <v>976</v>
      </c>
      <c r="F246">
        <v>275</v>
      </c>
      <c r="G246" t="s">
        <v>980</v>
      </c>
      <c r="H246" t="s">
        <v>173</v>
      </c>
      <c r="I246" t="s">
        <v>1455</v>
      </c>
      <c r="J246" t="s">
        <v>982</v>
      </c>
      <c r="K246">
        <v>3</v>
      </c>
      <c r="L246">
        <v>3</v>
      </c>
      <c r="M246">
        <v>0</v>
      </c>
      <c r="N246">
        <v>0</v>
      </c>
      <c r="O246">
        <v>0</v>
      </c>
      <c r="P246" t="s">
        <v>69</v>
      </c>
      <c r="Q246">
        <v>2022</v>
      </c>
      <c r="R246" t="s">
        <v>86</v>
      </c>
      <c r="S246" t="s">
        <v>87</v>
      </c>
      <c r="T246">
        <v>288</v>
      </c>
      <c r="U246">
        <f>shark_tank__1[[#This Row],[Cleaned Yearly Revenue]]/12</f>
        <v>24</v>
      </c>
      <c r="X246">
        <v>100</v>
      </c>
      <c r="Y246">
        <v>1.5</v>
      </c>
      <c r="Z246">
        <v>6666.67</v>
      </c>
      <c r="AA246">
        <v>1</v>
      </c>
      <c r="AB246">
        <v>1</v>
      </c>
      <c r="AC246">
        <v>200</v>
      </c>
      <c r="AD246">
        <v>5</v>
      </c>
      <c r="AE246">
        <v>0</v>
      </c>
      <c r="AF246">
        <v>0</v>
      </c>
      <c r="AG246">
        <v>4000</v>
      </c>
      <c r="AH246">
        <v>5</v>
      </c>
      <c r="AN246">
        <v>40</v>
      </c>
      <c r="AO246">
        <v>1</v>
      </c>
      <c r="AQ246">
        <v>40</v>
      </c>
      <c r="AR246">
        <v>1</v>
      </c>
      <c r="AW246">
        <v>40</v>
      </c>
      <c r="AX246">
        <v>1</v>
      </c>
      <c r="AZ246">
        <v>40</v>
      </c>
      <c r="BA246">
        <v>1</v>
      </c>
      <c r="BF246">
        <v>40</v>
      </c>
      <c r="BG246">
        <v>1</v>
      </c>
    </row>
    <row r="247" spans="1:59" x14ac:dyDescent="0.3">
      <c r="A247">
        <v>2</v>
      </c>
      <c r="B247" s="4">
        <v>44928</v>
      </c>
      <c r="C247" s="4">
        <v>44995</v>
      </c>
      <c r="D247">
        <v>39</v>
      </c>
      <c r="E247" t="s">
        <v>976</v>
      </c>
      <c r="F247">
        <v>276</v>
      </c>
      <c r="G247" t="s">
        <v>1280</v>
      </c>
      <c r="H247" t="s">
        <v>66</v>
      </c>
      <c r="I247" t="s">
        <v>1456</v>
      </c>
      <c r="J247" t="s">
        <v>985</v>
      </c>
      <c r="K247">
        <v>2</v>
      </c>
      <c r="L247">
        <v>2</v>
      </c>
      <c r="M247">
        <v>0</v>
      </c>
      <c r="N247">
        <v>0</v>
      </c>
      <c r="O247">
        <v>0</v>
      </c>
      <c r="P247" t="s">
        <v>69</v>
      </c>
      <c r="Q247">
        <v>2020</v>
      </c>
      <c r="R247" t="s">
        <v>185</v>
      </c>
      <c r="S247" t="s">
        <v>186</v>
      </c>
      <c r="T247">
        <v>256</v>
      </c>
      <c r="U247">
        <f>shark_tank__1[[#This Row],[Cleaned Yearly Revenue]]/12</f>
        <v>21.333333333333332</v>
      </c>
      <c r="V247">
        <v>70</v>
      </c>
      <c r="W247">
        <v>3</v>
      </c>
      <c r="X247">
        <v>65</v>
      </c>
      <c r="Y247">
        <v>3</v>
      </c>
      <c r="Z247">
        <v>2166.67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59" x14ac:dyDescent="0.3">
      <c r="A248">
        <v>2</v>
      </c>
      <c r="B248" s="4">
        <v>44928</v>
      </c>
      <c r="C248" s="4">
        <v>44995</v>
      </c>
      <c r="D248">
        <v>39</v>
      </c>
      <c r="E248" t="s">
        <v>976</v>
      </c>
      <c r="F248">
        <v>277</v>
      </c>
      <c r="G248" t="s">
        <v>1457</v>
      </c>
      <c r="H248" t="s">
        <v>635</v>
      </c>
      <c r="I248" t="s">
        <v>1458</v>
      </c>
      <c r="J248" t="s">
        <v>988</v>
      </c>
      <c r="K248">
        <v>1</v>
      </c>
      <c r="L248">
        <v>1</v>
      </c>
      <c r="M248">
        <v>0</v>
      </c>
      <c r="N248">
        <v>0</v>
      </c>
      <c r="O248">
        <v>0</v>
      </c>
      <c r="P248" t="s">
        <v>69</v>
      </c>
      <c r="Q248" t="s">
        <v>1309</v>
      </c>
      <c r="R248" t="s">
        <v>134</v>
      </c>
      <c r="S248" t="s">
        <v>99</v>
      </c>
      <c r="U248">
        <f>shark_tank__1[[#This Row],[Cleaned Yearly Revenue]]/12</f>
        <v>0</v>
      </c>
      <c r="V248">
        <v>56</v>
      </c>
      <c r="W248">
        <v>35</v>
      </c>
      <c r="X248">
        <v>100</v>
      </c>
      <c r="Y248">
        <v>10</v>
      </c>
      <c r="Z248">
        <v>1000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59" x14ac:dyDescent="0.3">
      <c r="A249">
        <v>2</v>
      </c>
      <c r="B249" s="4">
        <v>44928</v>
      </c>
      <c r="C249" s="4">
        <v>44995</v>
      </c>
      <c r="D249">
        <v>40</v>
      </c>
      <c r="E249" t="s">
        <v>989</v>
      </c>
      <c r="F249">
        <v>278</v>
      </c>
      <c r="G249" t="s">
        <v>990</v>
      </c>
      <c r="H249" t="s">
        <v>225</v>
      </c>
      <c r="I249" t="s">
        <v>1459</v>
      </c>
      <c r="J249" t="s">
        <v>992</v>
      </c>
      <c r="K249">
        <v>3</v>
      </c>
      <c r="L249">
        <v>3</v>
      </c>
      <c r="M249">
        <v>0</v>
      </c>
      <c r="N249">
        <v>0</v>
      </c>
      <c r="O249">
        <v>0</v>
      </c>
      <c r="P249" t="s">
        <v>69</v>
      </c>
      <c r="Q249">
        <v>2022</v>
      </c>
      <c r="R249" t="s">
        <v>155</v>
      </c>
      <c r="S249" t="s">
        <v>156</v>
      </c>
      <c r="T249">
        <v>0</v>
      </c>
      <c r="U249">
        <f>shark_tank__1[[#This Row],[Cleaned Yearly Revenue]]/12</f>
        <v>0</v>
      </c>
      <c r="X249">
        <v>120</v>
      </c>
      <c r="Y249">
        <v>0.2</v>
      </c>
      <c r="Z249">
        <v>60000</v>
      </c>
      <c r="AA249">
        <v>1</v>
      </c>
      <c r="AB249">
        <v>1</v>
      </c>
      <c r="AC249">
        <v>60</v>
      </c>
      <c r="AD249">
        <v>0.54</v>
      </c>
      <c r="AE249">
        <v>60</v>
      </c>
      <c r="AF249">
        <v>12</v>
      </c>
      <c r="AG249">
        <v>11111.11111</v>
      </c>
      <c r="AH249">
        <v>2</v>
      </c>
      <c r="AW249">
        <v>30</v>
      </c>
      <c r="AX249">
        <v>0.27</v>
      </c>
      <c r="AY249">
        <v>30</v>
      </c>
      <c r="AZ249">
        <v>30</v>
      </c>
      <c r="BA249">
        <v>0.27</v>
      </c>
      <c r="BB249">
        <v>30</v>
      </c>
    </row>
    <row r="250" spans="1:59" x14ac:dyDescent="0.3">
      <c r="A250">
        <v>2</v>
      </c>
      <c r="B250" s="4">
        <v>44928</v>
      </c>
      <c r="C250" s="4">
        <v>44995</v>
      </c>
      <c r="D250">
        <v>40</v>
      </c>
      <c r="E250" t="s">
        <v>989</v>
      </c>
      <c r="F250">
        <v>279</v>
      </c>
      <c r="G250" t="s">
        <v>1281</v>
      </c>
      <c r="H250" t="s">
        <v>66</v>
      </c>
      <c r="I250" t="s">
        <v>1460</v>
      </c>
      <c r="J250" t="s">
        <v>995</v>
      </c>
      <c r="K250">
        <v>2</v>
      </c>
      <c r="L250">
        <v>2</v>
      </c>
      <c r="M250">
        <v>0</v>
      </c>
      <c r="N250">
        <v>0</v>
      </c>
      <c r="O250">
        <v>0</v>
      </c>
      <c r="P250" t="s">
        <v>75</v>
      </c>
      <c r="Q250" t="s">
        <v>1309</v>
      </c>
      <c r="R250" t="s">
        <v>70</v>
      </c>
      <c r="S250" t="s">
        <v>70</v>
      </c>
      <c r="U250">
        <f>shark_tank__1[[#This Row],[Cleaned Yearly Revenue]]/12</f>
        <v>0</v>
      </c>
      <c r="W250">
        <v>40</v>
      </c>
      <c r="X250">
        <v>100</v>
      </c>
      <c r="Y250">
        <v>2.5</v>
      </c>
      <c r="Z250">
        <v>4000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59" x14ac:dyDescent="0.3">
      <c r="A251">
        <v>2</v>
      </c>
      <c r="B251" s="4">
        <v>44928</v>
      </c>
      <c r="C251" s="4">
        <v>44995</v>
      </c>
      <c r="D251">
        <v>40</v>
      </c>
      <c r="E251" t="s">
        <v>989</v>
      </c>
      <c r="F251">
        <v>280</v>
      </c>
      <c r="G251" t="s">
        <v>1495</v>
      </c>
      <c r="H251" t="s">
        <v>95</v>
      </c>
      <c r="I251" t="s">
        <v>1461</v>
      </c>
      <c r="J251" t="s">
        <v>998</v>
      </c>
      <c r="K251">
        <v>2</v>
      </c>
      <c r="L251">
        <v>2</v>
      </c>
      <c r="M251">
        <v>0</v>
      </c>
      <c r="N251">
        <v>0</v>
      </c>
      <c r="O251">
        <v>0</v>
      </c>
      <c r="P251" t="s">
        <v>69</v>
      </c>
      <c r="Q251" t="s">
        <v>1309</v>
      </c>
      <c r="R251" t="s">
        <v>394</v>
      </c>
      <c r="S251" t="s">
        <v>77</v>
      </c>
      <c r="T251">
        <v>-1</v>
      </c>
      <c r="U251">
        <f>shark_tank__1[[#This Row],[Cleaned Yearly Revenue]]/12</f>
        <v>-8.3333333333333329E-2</v>
      </c>
      <c r="V251">
        <v>22</v>
      </c>
      <c r="X251">
        <v>100</v>
      </c>
      <c r="Y251">
        <v>1</v>
      </c>
      <c r="Z251">
        <v>10000</v>
      </c>
      <c r="AA251">
        <v>1</v>
      </c>
      <c r="AB251">
        <v>1</v>
      </c>
      <c r="AC251">
        <v>50</v>
      </c>
      <c r="AD251">
        <v>1</v>
      </c>
      <c r="AE251">
        <v>50</v>
      </c>
      <c r="AF251">
        <v>10</v>
      </c>
      <c r="AG251">
        <v>5000</v>
      </c>
      <c r="AH251">
        <v>2</v>
      </c>
      <c r="AN251">
        <v>25</v>
      </c>
      <c r="AO251">
        <v>0.5</v>
      </c>
      <c r="AP251">
        <v>25</v>
      </c>
      <c r="AZ251">
        <v>25</v>
      </c>
      <c r="BA251">
        <v>0.5</v>
      </c>
      <c r="BB251">
        <v>25</v>
      </c>
    </row>
    <row r="252" spans="1:59" x14ac:dyDescent="0.3">
      <c r="A252">
        <v>2</v>
      </c>
      <c r="B252" s="4">
        <v>44928</v>
      </c>
      <c r="C252" s="4">
        <v>44995</v>
      </c>
      <c r="D252">
        <v>41</v>
      </c>
      <c r="E252" t="s">
        <v>999</v>
      </c>
      <c r="F252">
        <v>281</v>
      </c>
      <c r="G252" t="s">
        <v>1000</v>
      </c>
      <c r="H252" t="s">
        <v>66</v>
      </c>
      <c r="I252" t="s">
        <v>1001</v>
      </c>
      <c r="J252" t="s">
        <v>1002</v>
      </c>
      <c r="K252">
        <v>4</v>
      </c>
      <c r="L252">
        <v>4</v>
      </c>
      <c r="M252">
        <v>0</v>
      </c>
      <c r="N252">
        <v>0</v>
      </c>
      <c r="O252">
        <v>0</v>
      </c>
      <c r="P252" t="s">
        <v>75</v>
      </c>
      <c r="Q252">
        <v>2018</v>
      </c>
      <c r="R252" t="s">
        <v>1003</v>
      </c>
      <c r="S252" t="s">
        <v>77</v>
      </c>
      <c r="T252">
        <v>30</v>
      </c>
      <c r="U252">
        <f>shark_tank__1[[#This Row],[Cleaned Yearly Revenue]]/12</f>
        <v>2.5</v>
      </c>
      <c r="V252">
        <v>40</v>
      </c>
      <c r="X252">
        <v>200</v>
      </c>
      <c r="Y252">
        <v>2</v>
      </c>
      <c r="Z252">
        <v>10000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59" x14ac:dyDescent="0.3">
      <c r="A253">
        <v>2</v>
      </c>
      <c r="B253" s="4">
        <v>44928</v>
      </c>
      <c r="C253" s="4">
        <v>44995</v>
      </c>
      <c r="D253">
        <v>41</v>
      </c>
      <c r="E253" t="s">
        <v>999</v>
      </c>
      <c r="F253">
        <v>282</v>
      </c>
      <c r="G253" t="s">
        <v>1004</v>
      </c>
      <c r="H253" t="s">
        <v>173</v>
      </c>
      <c r="I253" t="s">
        <v>1005</v>
      </c>
      <c r="J253" t="s">
        <v>1006</v>
      </c>
      <c r="K253">
        <v>2</v>
      </c>
      <c r="L253">
        <v>2</v>
      </c>
      <c r="M253">
        <v>0</v>
      </c>
      <c r="N253">
        <v>0</v>
      </c>
      <c r="O253">
        <v>0</v>
      </c>
      <c r="P253" t="s">
        <v>69</v>
      </c>
      <c r="Q253" t="s">
        <v>1309</v>
      </c>
      <c r="R253" t="s">
        <v>190</v>
      </c>
      <c r="S253" t="s">
        <v>191</v>
      </c>
      <c r="U253">
        <f>shark_tank__1[[#This Row],[Cleaned Yearly Revenue]]/12</f>
        <v>0</v>
      </c>
      <c r="X253">
        <v>150</v>
      </c>
      <c r="Y253">
        <v>1</v>
      </c>
      <c r="Z253">
        <v>15000</v>
      </c>
      <c r="AA253">
        <v>1</v>
      </c>
      <c r="AB253">
        <v>1</v>
      </c>
      <c r="AC253">
        <v>150</v>
      </c>
      <c r="AD253">
        <v>2</v>
      </c>
      <c r="AE253">
        <v>0</v>
      </c>
      <c r="AF253">
        <v>0</v>
      </c>
      <c r="AG253">
        <v>7500</v>
      </c>
      <c r="AH253">
        <v>4</v>
      </c>
      <c r="AJ253">
        <v>1</v>
      </c>
      <c r="AQ253">
        <v>37.5</v>
      </c>
      <c r="AR253">
        <v>0.5</v>
      </c>
      <c r="AT253">
        <v>37.5</v>
      </c>
      <c r="AU253">
        <v>0.5</v>
      </c>
      <c r="AW253">
        <v>37.5</v>
      </c>
      <c r="AX253">
        <v>0.5</v>
      </c>
      <c r="AZ253">
        <v>37.5</v>
      </c>
      <c r="BA253">
        <v>0.5</v>
      </c>
    </row>
    <row r="254" spans="1:59" x14ac:dyDescent="0.3">
      <c r="A254">
        <v>2</v>
      </c>
      <c r="B254" s="4">
        <v>44928</v>
      </c>
      <c r="C254" s="4">
        <v>44995</v>
      </c>
      <c r="D254">
        <v>41</v>
      </c>
      <c r="E254" t="s">
        <v>999</v>
      </c>
      <c r="F254">
        <v>283</v>
      </c>
      <c r="G254" t="s">
        <v>1496</v>
      </c>
      <c r="H254" t="s">
        <v>182</v>
      </c>
      <c r="I254" t="s">
        <v>1462</v>
      </c>
      <c r="J254" t="s">
        <v>1009</v>
      </c>
      <c r="K254">
        <v>4</v>
      </c>
      <c r="L254">
        <v>2</v>
      </c>
      <c r="M254">
        <v>2</v>
      </c>
      <c r="N254">
        <v>0</v>
      </c>
      <c r="O254">
        <v>1</v>
      </c>
      <c r="P254" t="s">
        <v>69</v>
      </c>
      <c r="Q254">
        <v>2016</v>
      </c>
      <c r="R254" t="s">
        <v>134</v>
      </c>
      <c r="S254" t="s">
        <v>99</v>
      </c>
      <c r="U254">
        <f>shark_tank__1[[#This Row],[Cleaned Yearly Revenue]]/12</f>
        <v>0</v>
      </c>
      <c r="V254">
        <v>30</v>
      </c>
      <c r="X254">
        <v>150</v>
      </c>
      <c r="Y254">
        <v>1</v>
      </c>
      <c r="Z254">
        <v>15000</v>
      </c>
      <c r="AA254">
        <v>1</v>
      </c>
      <c r="AB254">
        <v>1</v>
      </c>
      <c r="AC254">
        <v>80</v>
      </c>
      <c r="AD254">
        <v>2</v>
      </c>
      <c r="AE254">
        <v>70</v>
      </c>
      <c r="AF254">
        <v>0</v>
      </c>
      <c r="AG254">
        <v>4000</v>
      </c>
      <c r="AH254">
        <v>1</v>
      </c>
      <c r="AW254">
        <v>80</v>
      </c>
      <c r="AX254">
        <v>2</v>
      </c>
      <c r="AY254">
        <v>70</v>
      </c>
    </row>
    <row r="255" spans="1:59" x14ac:dyDescent="0.3">
      <c r="A255">
        <v>2</v>
      </c>
      <c r="B255" s="4">
        <v>44928</v>
      </c>
      <c r="C255" s="4">
        <v>44995</v>
      </c>
      <c r="D255">
        <v>41</v>
      </c>
      <c r="E255" t="s">
        <v>999</v>
      </c>
      <c r="F255">
        <v>284</v>
      </c>
      <c r="G255" t="s">
        <v>1284</v>
      </c>
      <c r="H255" t="s">
        <v>66</v>
      </c>
      <c r="I255" t="s">
        <v>1463</v>
      </c>
      <c r="J255" t="s">
        <v>1012</v>
      </c>
      <c r="K255">
        <v>2</v>
      </c>
      <c r="L255">
        <v>1</v>
      </c>
      <c r="M255">
        <v>1</v>
      </c>
      <c r="N255">
        <v>0</v>
      </c>
      <c r="O255">
        <v>0</v>
      </c>
      <c r="P255" t="s">
        <v>69</v>
      </c>
      <c r="Q255" t="s">
        <v>1309</v>
      </c>
      <c r="R255" t="s">
        <v>185</v>
      </c>
      <c r="S255" t="s">
        <v>186</v>
      </c>
      <c r="T255">
        <v>360</v>
      </c>
      <c r="U255">
        <f>shark_tank__1[[#This Row],[Cleaned Yearly Revenue]]/12</f>
        <v>30</v>
      </c>
      <c r="X255">
        <v>50</v>
      </c>
      <c r="Y255">
        <v>3</v>
      </c>
      <c r="Z255">
        <v>1666.67</v>
      </c>
      <c r="AA255">
        <v>1</v>
      </c>
      <c r="AB255">
        <v>1</v>
      </c>
      <c r="AC255">
        <v>60</v>
      </c>
      <c r="AD255">
        <v>4.76</v>
      </c>
      <c r="AE255">
        <v>0</v>
      </c>
      <c r="AF255">
        <v>0</v>
      </c>
      <c r="AG255">
        <v>1260.5042020000001</v>
      </c>
      <c r="AH255">
        <v>3</v>
      </c>
      <c r="AQ255">
        <v>20</v>
      </c>
      <c r="AR255">
        <v>1.5860000000000001</v>
      </c>
      <c r="AT255">
        <v>20</v>
      </c>
      <c r="AU255">
        <v>1.5860000000000001</v>
      </c>
      <c r="AW255">
        <v>20</v>
      </c>
      <c r="AX255">
        <v>1.5860000000000001</v>
      </c>
    </row>
    <row r="256" spans="1:59" x14ac:dyDescent="0.3">
      <c r="A256">
        <v>2</v>
      </c>
      <c r="B256" s="4">
        <v>44928</v>
      </c>
      <c r="C256" s="4">
        <v>44995</v>
      </c>
      <c r="D256">
        <v>42</v>
      </c>
      <c r="E256" t="s">
        <v>1013</v>
      </c>
      <c r="F256">
        <v>285</v>
      </c>
      <c r="G256" t="s">
        <v>1285</v>
      </c>
      <c r="H256" t="s">
        <v>597</v>
      </c>
      <c r="I256" t="s">
        <v>1464</v>
      </c>
      <c r="J256" t="s">
        <v>1016</v>
      </c>
      <c r="K256">
        <v>2</v>
      </c>
      <c r="L256">
        <v>2</v>
      </c>
      <c r="M256">
        <v>0</v>
      </c>
      <c r="N256">
        <v>0</v>
      </c>
      <c r="O256">
        <v>0</v>
      </c>
      <c r="P256" t="s">
        <v>69</v>
      </c>
      <c r="Q256">
        <v>2018</v>
      </c>
      <c r="R256" t="s">
        <v>70</v>
      </c>
      <c r="S256" t="s">
        <v>70</v>
      </c>
      <c r="T256">
        <v>-1</v>
      </c>
      <c r="U256">
        <f>shark_tank__1[[#This Row],[Cleaned Yearly Revenue]]/12</f>
        <v>-8.3333333333333329E-2</v>
      </c>
      <c r="X256">
        <v>100</v>
      </c>
      <c r="Y256">
        <v>0.75</v>
      </c>
      <c r="Z256">
        <v>13333.33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60" x14ac:dyDescent="0.3">
      <c r="A257">
        <v>2</v>
      </c>
      <c r="B257" s="4">
        <v>44928</v>
      </c>
      <c r="C257" s="4">
        <v>44995</v>
      </c>
      <c r="D257">
        <v>42</v>
      </c>
      <c r="E257" t="s">
        <v>1013</v>
      </c>
      <c r="F257">
        <v>286</v>
      </c>
      <c r="G257" t="s">
        <v>1286</v>
      </c>
      <c r="H257" t="s">
        <v>597</v>
      </c>
      <c r="I257" t="s">
        <v>1465</v>
      </c>
      <c r="J257" t="s">
        <v>1019</v>
      </c>
      <c r="K257">
        <v>2</v>
      </c>
      <c r="L257">
        <v>2</v>
      </c>
      <c r="M257">
        <v>0</v>
      </c>
      <c r="N257">
        <v>0</v>
      </c>
      <c r="O257">
        <v>0</v>
      </c>
      <c r="P257" t="s">
        <v>69</v>
      </c>
      <c r="Q257">
        <v>2017</v>
      </c>
      <c r="R257" t="s">
        <v>86</v>
      </c>
      <c r="S257" t="s">
        <v>87</v>
      </c>
      <c r="T257">
        <v>75</v>
      </c>
      <c r="U257">
        <f>shark_tank__1[[#This Row],[Cleaned Yearly Revenue]]/12</f>
        <v>6.25</v>
      </c>
      <c r="V257">
        <v>45</v>
      </c>
      <c r="W257">
        <v>35</v>
      </c>
      <c r="X257">
        <v>80</v>
      </c>
      <c r="Y257">
        <v>15</v>
      </c>
      <c r="Z257">
        <v>533.33000000000004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60" x14ac:dyDescent="0.3">
      <c r="A258">
        <v>2</v>
      </c>
      <c r="B258" s="4">
        <v>44928</v>
      </c>
      <c r="C258" s="4">
        <v>44995</v>
      </c>
      <c r="D258">
        <v>42</v>
      </c>
      <c r="E258" t="s">
        <v>1013</v>
      </c>
      <c r="F258">
        <v>287</v>
      </c>
      <c r="G258" t="s">
        <v>1287</v>
      </c>
      <c r="H258" t="s">
        <v>72</v>
      </c>
      <c r="I258" t="s">
        <v>1021</v>
      </c>
      <c r="J258" t="s">
        <v>1022</v>
      </c>
      <c r="K258">
        <v>2</v>
      </c>
      <c r="L258">
        <v>2</v>
      </c>
      <c r="M258">
        <v>0</v>
      </c>
      <c r="N258">
        <v>0</v>
      </c>
      <c r="O258">
        <v>0</v>
      </c>
      <c r="P258" t="s">
        <v>69</v>
      </c>
      <c r="Q258" t="s">
        <v>1309</v>
      </c>
      <c r="R258" t="s">
        <v>86</v>
      </c>
      <c r="S258" t="s">
        <v>87</v>
      </c>
      <c r="T258">
        <v>54</v>
      </c>
      <c r="U258">
        <f>shark_tank__1[[#This Row],[Cleaned Yearly Revenue]]/12</f>
        <v>4.5</v>
      </c>
      <c r="X258">
        <v>75</v>
      </c>
      <c r="Y258">
        <v>1</v>
      </c>
      <c r="Z258">
        <v>7500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60" x14ac:dyDescent="0.3">
      <c r="A259">
        <v>2</v>
      </c>
      <c r="B259" s="4">
        <v>44928</v>
      </c>
      <c r="C259" s="4">
        <v>44995</v>
      </c>
      <c r="D259">
        <v>42</v>
      </c>
      <c r="E259" t="s">
        <v>1013</v>
      </c>
      <c r="F259">
        <v>288</v>
      </c>
      <c r="G259" t="s">
        <v>1023</v>
      </c>
      <c r="H259" t="s">
        <v>225</v>
      </c>
      <c r="I259" t="s">
        <v>1024</v>
      </c>
      <c r="J259" t="s">
        <v>1025</v>
      </c>
      <c r="K259">
        <v>1</v>
      </c>
      <c r="L259">
        <v>1</v>
      </c>
      <c r="M259">
        <v>0</v>
      </c>
      <c r="N259">
        <v>0</v>
      </c>
      <c r="O259">
        <v>0</v>
      </c>
      <c r="P259" t="s">
        <v>69</v>
      </c>
      <c r="Q259" t="s">
        <v>1309</v>
      </c>
      <c r="R259" t="s">
        <v>86</v>
      </c>
      <c r="S259" t="s">
        <v>87</v>
      </c>
      <c r="T259">
        <v>120</v>
      </c>
      <c r="U259">
        <f>shark_tank__1[[#This Row],[Cleaned Yearly Revenue]]/12</f>
        <v>10</v>
      </c>
      <c r="V259">
        <v>50</v>
      </c>
      <c r="W259">
        <v>8</v>
      </c>
      <c r="X259">
        <v>40</v>
      </c>
      <c r="Y259">
        <v>1</v>
      </c>
      <c r="Z259">
        <v>4000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60" x14ac:dyDescent="0.3">
      <c r="A260">
        <v>2</v>
      </c>
      <c r="B260" s="4">
        <v>44928</v>
      </c>
      <c r="C260" s="4">
        <v>44995</v>
      </c>
      <c r="D260">
        <v>43</v>
      </c>
      <c r="E260" t="s">
        <v>1026</v>
      </c>
      <c r="F260">
        <v>289</v>
      </c>
      <c r="G260" t="s">
        <v>1466</v>
      </c>
      <c r="H260" t="s">
        <v>66</v>
      </c>
      <c r="I260" t="s">
        <v>1467</v>
      </c>
      <c r="J260" t="s">
        <v>1309</v>
      </c>
      <c r="K260">
        <v>1</v>
      </c>
      <c r="L260">
        <v>1</v>
      </c>
      <c r="M260">
        <v>0</v>
      </c>
      <c r="N260">
        <v>0</v>
      </c>
      <c r="O260">
        <v>0</v>
      </c>
      <c r="P260" t="s">
        <v>69</v>
      </c>
      <c r="Q260" t="s">
        <v>1309</v>
      </c>
      <c r="R260" t="s">
        <v>185</v>
      </c>
      <c r="S260" t="s">
        <v>186</v>
      </c>
      <c r="U260">
        <f>shark_tank__1[[#This Row],[Cleaned Yearly Revenue]]/12</f>
        <v>0</v>
      </c>
      <c r="X260">
        <v>75</v>
      </c>
      <c r="Y260">
        <v>5</v>
      </c>
      <c r="Z260">
        <v>1500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60" x14ac:dyDescent="0.3">
      <c r="A261">
        <v>2</v>
      </c>
      <c r="B261" s="4">
        <v>44928</v>
      </c>
      <c r="C261" s="4">
        <v>44995</v>
      </c>
      <c r="D261">
        <v>43</v>
      </c>
      <c r="E261" t="s">
        <v>1026</v>
      </c>
      <c r="F261">
        <v>290</v>
      </c>
      <c r="G261" t="s">
        <v>1468</v>
      </c>
      <c r="H261" t="s">
        <v>225</v>
      </c>
      <c r="I261" t="s">
        <v>1469</v>
      </c>
      <c r="J261" t="s">
        <v>1031</v>
      </c>
      <c r="K261">
        <v>3</v>
      </c>
      <c r="L261">
        <v>1</v>
      </c>
      <c r="M261">
        <v>2</v>
      </c>
      <c r="N261">
        <v>0</v>
      </c>
      <c r="O261">
        <v>1</v>
      </c>
      <c r="P261" t="s">
        <v>69</v>
      </c>
      <c r="Q261">
        <v>2021</v>
      </c>
      <c r="R261" t="s">
        <v>134</v>
      </c>
      <c r="S261" t="s">
        <v>99</v>
      </c>
      <c r="U261">
        <f>shark_tank__1[[#This Row],[Cleaned Yearly Revenue]]/12</f>
        <v>0</v>
      </c>
      <c r="X261">
        <v>50</v>
      </c>
      <c r="Y261">
        <v>1.25</v>
      </c>
      <c r="Z261">
        <v>4000</v>
      </c>
      <c r="AA261">
        <v>1</v>
      </c>
      <c r="AB261">
        <v>1</v>
      </c>
      <c r="AC261">
        <v>50</v>
      </c>
      <c r="AD261">
        <v>4.16</v>
      </c>
      <c r="AE261">
        <v>0</v>
      </c>
      <c r="AF261">
        <v>0</v>
      </c>
      <c r="AG261">
        <v>1201.9230769999999</v>
      </c>
      <c r="AH261">
        <v>2</v>
      </c>
      <c r="AN261">
        <v>25</v>
      </c>
      <c r="AO261">
        <v>2.08</v>
      </c>
      <c r="BF261">
        <v>25</v>
      </c>
      <c r="BG261">
        <v>2.08</v>
      </c>
    </row>
    <row r="262" spans="1:60" x14ac:dyDescent="0.3">
      <c r="A262">
        <v>2</v>
      </c>
      <c r="B262" s="4">
        <v>44928</v>
      </c>
      <c r="C262" s="4">
        <v>44995</v>
      </c>
      <c r="D262">
        <v>43</v>
      </c>
      <c r="E262" t="s">
        <v>1026</v>
      </c>
      <c r="F262">
        <v>291</v>
      </c>
      <c r="G262" t="s">
        <v>1032</v>
      </c>
      <c r="H262" t="s">
        <v>66</v>
      </c>
      <c r="I262" t="s">
        <v>1033</v>
      </c>
      <c r="J262" t="s">
        <v>1034</v>
      </c>
      <c r="K262">
        <v>2</v>
      </c>
      <c r="L262">
        <v>2</v>
      </c>
      <c r="M262">
        <v>0</v>
      </c>
      <c r="N262">
        <v>0</v>
      </c>
      <c r="O262">
        <v>0</v>
      </c>
      <c r="P262" t="s">
        <v>69</v>
      </c>
      <c r="Q262" t="s">
        <v>1309</v>
      </c>
      <c r="R262" t="s">
        <v>70</v>
      </c>
      <c r="S262" t="s">
        <v>70</v>
      </c>
      <c r="T262">
        <v>720</v>
      </c>
      <c r="U262">
        <f>shark_tank__1[[#This Row],[Cleaned Yearly Revenue]]/12</f>
        <v>60</v>
      </c>
      <c r="X262">
        <v>60</v>
      </c>
      <c r="Y262">
        <v>1.5</v>
      </c>
      <c r="Z262">
        <v>4000</v>
      </c>
      <c r="AA262">
        <v>1</v>
      </c>
      <c r="AB262">
        <v>1</v>
      </c>
      <c r="AC262">
        <v>15</v>
      </c>
      <c r="AD262">
        <v>1.5</v>
      </c>
      <c r="AE262">
        <v>45</v>
      </c>
      <c r="AF262">
        <v>12</v>
      </c>
      <c r="AG262">
        <v>1000</v>
      </c>
      <c r="AH262">
        <v>1</v>
      </c>
      <c r="BF262">
        <v>15</v>
      </c>
      <c r="BG262">
        <v>1.5</v>
      </c>
      <c r="BH262">
        <v>45</v>
      </c>
    </row>
    <row r="263" spans="1:60" x14ac:dyDescent="0.3">
      <c r="A263">
        <v>2</v>
      </c>
      <c r="B263" s="4">
        <v>44928</v>
      </c>
      <c r="C263" s="4">
        <v>44995</v>
      </c>
      <c r="D263">
        <v>43</v>
      </c>
      <c r="E263" t="s">
        <v>1026</v>
      </c>
      <c r="F263">
        <v>292</v>
      </c>
      <c r="G263" t="s">
        <v>1494</v>
      </c>
      <c r="H263" t="s">
        <v>286</v>
      </c>
      <c r="I263" t="s">
        <v>1036</v>
      </c>
      <c r="J263" t="s">
        <v>1037</v>
      </c>
      <c r="K263">
        <v>2</v>
      </c>
      <c r="L263">
        <v>2</v>
      </c>
      <c r="M263">
        <v>0</v>
      </c>
      <c r="N263">
        <v>0</v>
      </c>
      <c r="O263">
        <v>0</v>
      </c>
      <c r="P263" t="s">
        <v>69</v>
      </c>
      <c r="Q263" t="s">
        <v>1309</v>
      </c>
      <c r="R263" t="s">
        <v>143</v>
      </c>
      <c r="S263" t="s">
        <v>144</v>
      </c>
      <c r="T263">
        <v>1005</v>
      </c>
      <c r="U263">
        <f>shark_tank__1[[#This Row],[Cleaned Yearly Revenue]]/12</f>
        <v>83.75</v>
      </c>
      <c r="V263">
        <v>80</v>
      </c>
      <c r="X263">
        <v>50</v>
      </c>
      <c r="Y263">
        <v>1</v>
      </c>
      <c r="Z263">
        <v>5000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60" x14ac:dyDescent="0.3">
      <c r="A264">
        <v>2</v>
      </c>
      <c r="B264" s="4">
        <v>44928</v>
      </c>
      <c r="C264" s="4">
        <v>44995</v>
      </c>
      <c r="D264">
        <v>44</v>
      </c>
      <c r="E264" t="s">
        <v>1038</v>
      </c>
      <c r="F264">
        <v>293</v>
      </c>
      <c r="G264" t="s">
        <v>1289</v>
      </c>
      <c r="H264" t="s">
        <v>66</v>
      </c>
      <c r="I264" t="s">
        <v>1040</v>
      </c>
      <c r="J264" t="s">
        <v>1041</v>
      </c>
      <c r="K264">
        <v>3</v>
      </c>
      <c r="L264">
        <v>1</v>
      </c>
      <c r="M264">
        <v>2</v>
      </c>
      <c r="N264">
        <v>0</v>
      </c>
      <c r="O264">
        <v>1</v>
      </c>
      <c r="P264" t="s">
        <v>69</v>
      </c>
      <c r="Q264">
        <v>2019</v>
      </c>
      <c r="R264" t="s">
        <v>86</v>
      </c>
      <c r="S264" t="s">
        <v>87</v>
      </c>
      <c r="T264">
        <v>-1</v>
      </c>
      <c r="U264">
        <f>shark_tank__1[[#This Row],[Cleaned Yearly Revenue]]/12</f>
        <v>-8.3333333333333329E-2</v>
      </c>
      <c r="V264">
        <v>45</v>
      </c>
      <c r="X264">
        <v>50</v>
      </c>
      <c r="Y264">
        <v>2</v>
      </c>
      <c r="Z264">
        <v>2500</v>
      </c>
      <c r="AA264">
        <v>1</v>
      </c>
      <c r="AB264">
        <v>1</v>
      </c>
      <c r="AC264">
        <v>50</v>
      </c>
      <c r="AD264">
        <v>6.5</v>
      </c>
      <c r="AE264">
        <v>0</v>
      </c>
      <c r="AF264">
        <v>0</v>
      </c>
      <c r="AG264">
        <v>769.23076920000005</v>
      </c>
      <c r="AH264">
        <v>1</v>
      </c>
      <c r="AT264">
        <v>50</v>
      </c>
      <c r="AU264">
        <v>6.5</v>
      </c>
    </row>
    <row r="265" spans="1:60" x14ac:dyDescent="0.3">
      <c r="A265">
        <v>2</v>
      </c>
      <c r="B265" s="4">
        <v>44928</v>
      </c>
      <c r="C265" s="4">
        <v>44995</v>
      </c>
      <c r="D265">
        <v>44</v>
      </c>
      <c r="E265" t="s">
        <v>1038</v>
      </c>
      <c r="F265">
        <v>294</v>
      </c>
      <c r="G265" t="s">
        <v>1042</v>
      </c>
      <c r="H265" t="s">
        <v>635</v>
      </c>
      <c r="I265" t="s">
        <v>1043</v>
      </c>
      <c r="J265" t="s">
        <v>1044</v>
      </c>
      <c r="K265">
        <v>3</v>
      </c>
      <c r="L265">
        <v>3</v>
      </c>
      <c r="M265">
        <v>0</v>
      </c>
      <c r="N265">
        <v>0</v>
      </c>
      <c r="O265">
        <v>0</v>
      </c>
      <c r="P265" t="s">
        <v>69</v>
      </c>
      <c r="Q265">
        <v>2010</v>
      </c>
      <c r="R265" t="s">
        <v>143</v>
      </c>
      <c r="S265" t="s">
        <v>144</v>
      </c>
      <c r="U265">
        <f>shark_tank__1[[#This Row],[Cleaned Yearly Revenue]]/12</f>
        <v>0</v>
      </c>
      <c r="X265">
        <v>1000</v>
      </c>
      <c r="Y265">
        <v>10</v>
      </c>
      <c r="Z265">
        <v>10000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60" x14ac:dyDescent="0.3">
      <c r="A266">
        <v>2</v>
      </c>
      <c r="B266" s="4">
        <v>44928</v>
      </c>
      <c r="C266" s="4">
        <v>44995</v>
      </c>
      <c r="D266">
        <v>44</v>
      </c>
      <c r="E266" t="s">
        <v>1038</v>
      </c>
      <c r="F266">
        <v>295</v>
      </c>
      <c r="G266" t="s">
        <v>1290</v>
      </c>
      <c r="H266" t="s">
        <v>66</v>
      </c>
      <c r="I266" t="s">
        <v>1046</v>
      </c>
      <c r="J266" t="s">
        <v>1047</v>
      </c>
      <c r="K266">
        <v>2</v>
      </c>
      <c r="L266">
        <v>2</v>
      </c>
      <c r="M266">
        <v>0</v>
      </c>
      <c r="N266">
        <v>0</v>
      </c>
      <c r="O266">
        <v>0</v>
      </c>
      <c r="P266" t="s">
        <v>69</v>
      </c>
      <c r="Q266" t="s">
        <v>1309</v>
      </c>
      <c r="R266" t="s">
        <v>134</v>
      </c>
      <c r="S266" t="s">
        <v>99</v>
      </c>
      <c r="U266">
        <f>shark_tank__1[[#This Row],[Cleaned Yearly Revenue]]/12</f>
        <v>0</v>
      </c>
      <c r="X266">
        <v>75</v>
      </c>
      <c r="Y266">
        <v>5</v>
      </c>
      <c r="Z266">
        <v>1500</v>
      </c>
      <c r="AA266">
        <v>1</v>
      </c>
      <c r="AB266">
        <v>1</v>
      </c>
      <c r="AC266">
        <v>75</v>
      </c>
      <c r="AD266">
        <v>15</v>
      </c>
      <c r="AE266">
        <v>0</v>
      </c>
      <c r="AF266">
        <v>0</v>
      </c>
      <c r="AG266">
        <v>500</v>
      </c>
      <c r="AH266">
        <v>1</v>
      </c>
      <c r="AN266">
        <v>75</v>
      </c>
      <c r="AO266">
        <v>15</v>
      </c>
    </row>
    <row r="267" spans="1:60" x14ac:dyDescent="0.3">
      <c r="A267">
        <v>2</v>
      </c>
      <c r="B267" s="4">
        <v>44928</v>
      </c>
      <c r="C267" s="4">
        <v>44995</v>
      </c>
      <c r="D267">
        <v>44</v>
      </c>
      <c r="E267" t="s">
        <v>1038</v>
      </c>
      <c r="F267">
        <v>296</v>
      </c>
      <c r="G267" t="s">
        <v>1291</v>
      </c>
      <c r="H267" t="s">
        <v>268</v>
      </c>
      <c r="I267" t="s">
        <v>1470</v>
      </c>
      <c r="J267" t="s">
        <v>1050</v>
      </c>
      <c r="K267">
        <v>1</v>
      </c>
      <c r="L267">
        <v>0</v>
      </c>
      <c r="M267">
        <v>1</v>
      </c>
      <c r="N267">
        <v>0</v>
      </c>
      <c r="O267">
        <v>0</v>
      </c>
      <c r="P267" t="s">
        <v>69</v>
      </c>
      <c r="Q267" t="s">
        <v>1309</v>
      </c>
      <c r="R267" t="s">
        <v>134</v>
      </c>
      <c r="S267" t="s">
        <v>99</v>
      </c>
      <c r="T267">
        <v>0</v>
      </c>
      <c r="U267">
        <f>shark_tank__1[[#This Row],[Cleaned Yearly Revenue]]/12</f>
        <v>0</v>
      </c>
      <c r="V267">
        <v>60</v>
      </c>
      <c r="X267">
        <v>50</v>
      </c>
      <c r="Y267">
        <v>5</v>
      </c>
      <c r="Z267">
        <v>1000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60" x14ac:dyDescent="0.3">
      <c r="A268">
        <v>2</v>
      </c>
      <c r="B268" s="4">
        <v>44928</v>
      </c>
      <c r="C268" s="4">
        <v>44995</v>
      </c>
      <c r="D268">
        <v>45</v>
      </c>
      <c r="E268" t="s">
        <v>1051</v>
      </c>
      <c r="F268">
        <v>297</v>
      </c>
      <c r="G268" t="s">
        <v>1292</v>
      </c>
      <c r="H268" t="s">
        <v>66</v>
      </c>
      <c r="I268" t="s">
        <v>1053</v>
      </c>
      <c r="J268" t="s">
        <v>1054</v>
      </c>
      <c r="K268">
        <v>2</v>
      </c>
      <c r="L268">
        <v>1</v>
      </c>
      <c r="M268">
        <v>1</v>
      </c>
      <c r="N268">
        <v>0</v>
      </c>
      <c r="O268">
        <v>0</v>
      </c>
      <c r="P268" t="s">
        <v>69</v>
      </c>
      <c r="Q268" t="s">
        <v>1309</v>
      </c>
      <c r="R268" t="s">
        <v>1055</v>
      </c>
      <c r="S268" t="s">
        <v>1056</v>
      </c>
      <c r="T268">
        <v>13</v>
      </c>
      <c r="U268">
        <f>shark_tank__1[[#This Row],[Cleaned Yearly Revenue]]/12</f>
        <v>1.0833333333333333</v>
      </c>
      <c r="X268">
        <v>100</v>
      </c>
      <c r="Y268">
        <v>2</v>
      </c>
      <c r="Z268">
        <v>5000</v>
      </c>
      <c r="AA268">
        <v>1</v>
      </c>
      <c r="AB268">
        <v>1</v>
      </c>
      <c r="AC268">
        <v>50</v>
      </c>
      <c r="AD268">
        <v>10</v>
      </c>
      <c r="AE268">
        <v>50</v>
      </c>
      <c r="AF268">
        <v>12</v>
      </c>
      <c r="AG268">
        <v>500</v>
      </c>
      <c r="AH268">
        <v>1</v>
      </c>
      <c r="AT268">
        <v>50</v>
      </c>
      <c r="AU268">
        <v>10</v>
      </c>
      <c r="AV268">
        <v>50</v>
      </c>
    </row>
    <row r="269" spans="1:60" x14ac:dyDescent="0.3">
      <c r="A269">
        <v>2</v>
      </c>
      <c r="B269" s="4">
        <v>44928</v>
      </c>
      <c r="C269" s="4">
        <v>44995</v>
      </c>
      <c r="D269">
        <v>45</v>
      </c>
      <c r="E269" t="s">
        <v>1051</v>
      </c>
      <c r="F269">
        <v>298</v>
      </c>
      <c r="G269" t="s">
        <v>1057</v>
      </c>
      <c r="H269" t="s">
        <v>173</v>
      </c>
      <c r="I269" t="s">
        <v>1471</v>
      </c>
      <c r="J269" t="s">
        <v>1059</v>
      </c>
      <c r="K269">
        <v>3</v>
      </c>
      <c r="L269">
        <v>3</v>
      </c>
      <c r="M269">
        <v>0</v>
      </c>
      <c r="N269">
        <v>0</v>
      </c>
      <c r="O269">
        <v>0</v>
      </c>
      <c r="P269" t="s">
        <v>69</v>
      </c>
      <c r="Q269" t="s">
        <v>1309</v>
      </c>
      <c r="R269" t="s">
        <v>1060</v>
      </c>
      <c r="S269" t="s">
        <v>1061</v>
      </c>
      <c r="T269">
        <v>0</v>
      </c>
      <c r="U269">
        <f>shark_tank__1[[#This Row],[Cleaned Yearly Revenue]]/12</f>
        <v>0</v>
      </c>
      <c r="X269">
        <v>50</v>
      </c>
      <c r="Y269">
        <v>1</v>
      </c>
      <c r="Z269">
        <v>5000</v>
      </c>
      <c r="AA269">
        <v>1</v>
      </c>
      <c r="AB269">
        <v>1</v>
      </c>
      <c r="AC269">
        <v>20</v>
      </c>
      <c r="AD269">
        <v>1</v>
      </c>
      <c r="AE269">
        <v>30</v>
      </c>
      <c r="AF269">
        <v>10</v>
      </c>
      <c r="AG269">
        <v>2000</v>
      </c>
      <c r="AH269">
        <v>1</v>
      </c>
      <c r="AJ269">
        <v>1</v>
      </c>
      <c r="AN269">
        <v>20</v>
      </c>
      <c r="AO269">
        <v>1</v>
      </c>
      <c r="AP269">
        <v>30</v>
      </c>
    </row>
    <row r="270" spans="1:60" x14ac:dyDescent="0.3">
      <c r="A270">
        <v>2</v>
      </c>
      <c r="B270" s="4">
        <v>44928</v>
      </c>
      <c r="C270" s="4">
        <v>44995</v>
      </c>
      <c r="D270">
        <v>45</v>
      </c>
      <c r="E270" t="s">
        <v>1051</v>
      </c>
      <c r="F270">
        <v>299</v>
      </c>
      <c r="G270" t="s">
        <v>1293</v>
      </c>
      <c r="H270" t="s">
        <v>79</v>
      </c>
      <c r="I270" t="s">
        <v>1472</v>
      </c>
      <c r="J270" t="s">
        <v>1064</v>
      </c>
      <c r="K270">
        <v>2</v>
      </c>
      <c r="L270">
        <v>2</v>
      </c>
      <c r="M270">
        <v>0</v>
      </c>
      <c r="N270">
        <v>0</v>
      </c>
      <c r="O270">
        <v>0</v>
      </c>
      <c r="P270" t="s">
        <v>69</v>
      </c>
      <c r="Q270">
        <v>2019</v>
      </c>
      <c r="R270" t="s">
        <v>134</v>
      </c>
      <c r="S270" t="s">
        <v>99</v>
      </c>
      <c r="T270">
        <v>90</v>
      </c>
      <c r="U270">
        <f>shark_tank__1[[#This Row],[Cleaned Yearly Revenue]]/12</f>
        <v>7.5</v>
      </c>
      <c r="X270">
        <v>50</v>
      </c>
      <c r="Y270">
        <v>5</v>
      </c>
      <c r="Z270">
        <v>1000</v>
      </c>
      <c r="AA270">
        <v>1</v>
      </c>
      <c r="AB270">
        <v>1</v>
      </c>
      <c r="AC270">
        <v>50</v>
      </c>
      <c r="AD270">
        <v>10</v>
      </c>
      <c r="AE270">
        <v>0</v>
      </c>
      <c r="AF270">
        <v>0</v>
      </c>
      <c r="AG270">
        <v>500</v>
      </c>
      <c r="AH270">
        <v>1</v>
      </c>
      <c r="AI270" t="s">
        <v>804</v>
      </c>
      <c r="AZ270">
        <v>50</v>
      </c>
      <c r="BA270">
        <v>10</v>
      </c>
    </row>
    <row r="271" spans="1:60" x14ac:dyDescent="0.3">
      <c r="A271">
        <v>2</v>
      </c>
      <c r="B271" s="4">
        <v>44928</v>
      </c>
      <c r="C271" s="4">
        <v>44995</v>
      </c>
      <c r="D271">
        <v>46</v>
      </c>
      <c r="E271" t="s">
        <v>1065</v>
      </c>
      <c r="F271">
        <v>300</v>
      </c>
      <c r="G271" t="s">
        <v>1473</v>
      </c>
      <c r="H271" t="s">
        <v>448</v>
      </c>
      <c r="I271" t="s">
        <v>1067</v>
      </c>
      <c r="J271" t="s">
        <v>1068</v>
      </c>
      <c r="K271">
        <v>2</v>
      </c>
      <c r="L271">
        <v>2</v>
      </c>
      <c r="M271">
        <v>0</v>
      </c>
      <c r="N271">
        <v>0</v>
      </c>
      <c r="O271">
        <v>0</v>
      </c>
      <c r="P271" t="s">
        <v>69</v>
      </c>
      <c r="Q271" t="s">
        <v>1309</v>
      </c>
      <c r="R271" t="s">
        <v>134</v>
      </c>
      <c r="S271" t="s">
        <v>99</v>
      </c>
      <c r="T271">
        <v>31</v>
      </c>
      <c r="U271">
        <f>shark_tank__1[[#This Row],[Cleaned Yearly Revenue]]/12</f>
        <v>2.5833333333333335</v>
      </c>
      <c r="X271">
        <v>60</v>
      </c>
      <c r="Y271">
        <v>2</v>
      </c>
      <c r="Z271">
        <v>3000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60" x14ac:dyDescent="0.3">
      <c r="A272">
        <v>2</v>
      </c>
      <c r="B272" s="4">
        <v>44928</v>
      </c>
      <c r="C272" s="4">
        <v>44995</v>
      </c>
      <c r="D272">
        <v>46</v>
      </c>
      <c r="E272" t="s">
        <v>1065</v>
      </c>
      <c r="F272">
        <v>301</v>
      </c>
      <c r="G272" t="s">
        <v>1295</v>
      </c>
      <c r="H272" t="s">
        <v>286</v>
      </c>
      <c r="I272" t="s">
        <v>1070</v>
      </c>
      <c r="J272" t="s">
        <v>1071</v>
      </c>
      <c r="K272">
        <v>1</v>
      </c>
      <c r="L272">
        <v>1</v>
      </c>
      <c r="M272">
        <v>0</v>
      </c>
      <c r="N272">
        <v>0</v>
      </c>
      <c r="O272">
        <v>0</v>
      </c>
      <c r="P272" t="s">
        <v>69</v>
      </c>
      <c r="Q272" t="s">
        <v>1309</v>
      </c>
      <c r="R272" t="s">
        <v>134</v>
      </c>
      <c r="S272" t="s">
        <v>99</v>
      </c>
      <c r="U272">
        <f>shark_tank__1[[#This Row],[Cleaned Yearly Revenue]]/12</f>
        <v>0</v>
      </c>
      <c r="X272">
        <v>75</v>
      </c>
      <c r="Y272">
        <v>2</v>
      </c>
      <c r="Z272">
        <v>3750</v>
      </c>
      <c r="AA272">
        <v>1</v>
      </c>
      <c r="AB272">
        <v>1</v>
      </c>
      <c r="AC272">
        <v>75</v>
      </c>
      <c r="AD272">
        <v>3.75</v>
      </c>
      <c r="AE272">
        <v>0</v>
      </c>
      <c r="AF272">
        <v>0</v>
      </c>
      <c r="AG272">
        <v>2000</v>
      </c>
      <c r="AH272">
        <v>3</v>
      </c>
      <c r="AN272">
        <v>25</v>
      </c>
      <c r="AO272">
        <v>1.25</v>
      </c>
      <c r="AT272">
        <v>25</v>
      </c>
      <c r="AU272">
        <v>1.25</v>
      </c>
      <c r="AW272">
        <v>25</v>
      </c>
      <c r="AX272">
        <v>1.25</v>
      </c>
    </row>
    <row r="273" spans="1:60" x14ac:dyDescent="0.3">
      <c r="A273">
        <v>2</v>
      </c>
      <c r="B273" s="4">
        <v>44928</v>
      </c>
      <c r="C273" s="4">
        <v>44995</v>
      </c>
      <c r="D273">
        <v>46</v>
      </c>
      <c r="E273" t="s">
        <v>1065</v>
      </c>
      <c r="F273">
        <v>302</v>
      </c>
      <c r="G273" t="s">
        <v>1296</v>
      </c>
      <c r="H273" t="s">
        <v>286</v>
      </c>
      <c r="I273" t="s">
        <v>1474</v>
      </c>
      <c r="J273" t="s">
        <v>1074</v>
      </c>
      <c r="K273">
        <v>4</v>
      </c>
      <c r="L273">
        <v>4</v>
      </c>
      <c r="M273">
        <v>0</v>
      </c>
      <c r="N273">
        <v>0</v>
      </c>
      <c r="O273">
        <v>0</v>
      </c>
      <c r="P273" t="s">
        <v>69</v>
      </c>
      <c r="Q273">
        <v>2017</v>
      </c>
      <c r="R273" t="s">
        <v>436</v>
      </c>
      <c r="S273" t="s">
        <v>436</v>
      </c>
      <c r="T273">
        <v>180</v>
      </c>
      <c r="U273">
        <f>shark_tank__1[[#This Row],[Cleaned Yearly Revenue]]/12</f>
        <v>15</v>
      </c>
      <c r="X273">
        <v>50</v>
      </c>
      <c r="Y273">
        <v>1.5</v>
      </c>
      <c r="Z273">
        <v>3333.33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60" x14ac:dyDescent="0.3">
      <c r="A274">
        <v>2</v>
      </c>
      <c r="B274" s="4">
        <v>44928</v>
      </c>
      <c r="C274" s="4">
        <v>44995</v>
      </c>
      <c r="D274">
        <v>46</v>
      </c>
      <c r="E274" t="s">
        <v>1065</v>
      </c>
      <c r="F274">
        <v>303</v>
      </c>
      <c r="G274" t="s">
        <v>1297</v>
      </c>
      <c r="H274" t="s">
        <v>66</v>
      </c>
      <c r="I274" t="s">
        <v>1475</v>
      </c>
      <c r="J274" t="s">
        <v>1077</v>
      </c>
      <c r="K274">
        <v>2</v>
      </c>
      <c r="L274">
        <v>2</v>
      </c>
      <c r="M274">
        <v>0</v>
      </c>
      <c r="N274">
        <v>0</v>
      </c>
      <c r="O274">
        <v>0</v>
      </c>
      <c r="P274" t="s">
        <v>75</v>
      </c>
      <c r="Q274">
        <v>2018</v>
      </c>
      <c r="R274" t="s">
        <v>134</v>
      </c>
      <c r="S274" t="s">
        <v>99</v>
      </c>
      <c r="T274">
        <v>-1</v>
      </c>
      <c r="U274">
        <f>shark_tank__1[[#This Row],[Cleaned Yearly Revenue]]/12</f>
        <v>-8.3333333333333329E-2</v>
      </c>
      <c r="V274">
        <v>56</v>
      </c>
      <c r="X274">
        <v>75</v>
      </c>
      <c r="Y274">
        <v>2.1</v>
      </c>
      <c r="Z274">
        <v>3571.43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60" x14ac:dyDescent="0.3">
      <c r="A275">
        <v>2</v>
      </c>
      <c r="B275" s="4">
        <v>44928</v>
      </c>
      <c r="C275" s="4">
        <v>44995</v>
      </c>
      <c r="D275">
        <v>47</v>
      </c>
      <c r="E275" t="s">
        <v>1078</v>
      </c>
      <c r="F275">
        <v>304</v>
      </c>
      <c r="G275" t="s">
        <v>1079</v>
      </c>
      <c r="H275" t="s">
        <v>286</v>
      </c>
      <c r="I275" t="s">
        <v>1476</v>
      </c>
      <c r="J275" t="s">
        <v>1081</v>
      </c>
      <c r="K275">
        <v>5</v>
      </c>
      <c r="L275">
        <v>5</v>
      </c>
      <c r="M275">
        <v>0</v>
      </c>
      <c r="N275">
        <v>0</v>
      </c>
      <c r="O275">
        <v>0</v>
      </c>
      <c r="P275" t="s">
        <v>75</v>
      </c>
      <c r="Q275">
        <v>2016</v>
      </c>
      <c r="R275" t="s">
        <v>1082</v>
      </c>
      <c r="S275" t="s">
        <v>1083</v>
      </c>
      <c r="T275">
        <v>504</v>
      </c>
      <c r="U275">
        <f>shark_tank__1[[#This Row],[Cleaned Yearly Revenue]]/12</f>
        <v>42</v>
      </c>
      <c r="X275">
        <v>100</v>
      </c>
      <c r="Y275">
        <v>1.66</v>
      </c>
      <c r="Z275">
        <v>6024.1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60" x14ac:dyDescent="0.3">
      <c r="A276">
        <v>2</v>
      </c>
      <c r="B276" s="4">
        <v>44928</v>
      </c>
      <c r="C276" s="4">
        <v>44995</v>
      </c>
      <c r="D276">
        <v>47</v>
      </c>
      <c r="E276" t="s">
        <v>1078</v>
      </c>
      <c r="F276">
        <v>305</v>
      </c>
      <c r="G276" t="s">
        <v>1298</v>
      </c>
      <c r="H276" t="s">
        <v>286</v>
      </c>
      <c r="I276" t="s">
        <v>1085</v>
      </c>
      <c r="J276" t="s">
        <v>1086</v>
      </c>
      <c r="K276">
        <v>2</v>
      </c>
      <c r="L276">
        <v>0</v>
      </c>
      <c r="M276">
        <v>2</v>
      </c>
      <c r="N276">
        <v>0</v>
      </c>
      <c r="O276">
        <v>0</v>
      </c>
      <c r="P276" t="s">
        <v>69</v>
      </c>
      <c r="Q276" t="s">
        <v>1309</v>
      </c>
      <c r="R276" t="s">
        <v>86</v>
      </c>
      <c r="S276" t="s">
        <v>87</v>
      </c>
      <c r="U276">
        <f>shark_tank__1[[#This Row],[Cleaned Yearly Revenue]]/12</f>
        <v>0</v>
      </c>
      <c r="X276">
        <v>50</v>
      </c>
      <c r="Y276">
        <v>3</v>
      </c>
      <c r="Z276">
        <v>1666.67</v>
      </c>
      <c r="AA276">
        <v>1</v>
      </c>
      <c r="AB276">
        <v>1</v>
      </c>
      <c r="AC276">
        <v>50</v>
      </c>
      <c r="AD276">
        <v>5</v>
      </c>
      <c r="AE276">
        <v>0</v>
      </c>
      <c r="AF276">
        <v>0</v>
      </c>
      <c r="AG276">
        <v>1000</v>
      </c>
      <c r="AH276">
        <v>1</v>
      </c>
      <c r="AN276">
        <v>50</v>
      </c>
      <c r="AO276">
        <v>5</v>
      </c>
    </row>
    <row r="277" spans="1:60" x14ac:dyDescent="0.3">
      <c r="A277">
        <v>2</v>
      </c>
      <c r="B277" s="4">
        <v>44928</v>
      </c>
      <c r="C277" s="4">
        <v>44995</v>
      </c>
      <c r="D277">
        <v>47</v>
      </c>
      <c r="E277" t="s">
        <v>1078</v>
      </c>
      <c r="F277">
        <v>306</v>
      </c>
      <c r="G277" t="s">
        <v>1299</v>
      </c>
      <c r="H277" t="s">
        <v>635</v>
      </c>
      <c r="I277" t="s">
        <v>1477</v>
      </c>
      <c r="J277" t="s">
        <v>1089</v>
      </c>
      <c r="K277">
        <v>2</v>
      </c>
      <c r="L277">
        <v>1</v>
      </c>
      <c r="M277">
        <v>1</v>
      </c>
      <c r="N277">
        <v>0</v>
      </c>
      <c r="O277">
        <v>0</v>
      </c>
      <c r="P277" t="s">
        <v>69</v>
      </c>
      <c r="Q277" t="s">
        <v>1309</v>
      </c>
      <c r="R277" t="s">
        <v>1090</v>
      </c>
      <c r="S277" t="s">
        <v>122</v>
      </c>
      <c r="T277">
        <v>140</v>
      </c>
      <c r="U277">
        <f>shark_tank__1[[#This Row],[Cleaned Yearly Revenue]]/12</f>
        <v>11.666666666666666</v>
      </c>
      <c r="X277">
        <v>50</v>
      </c>
      <c r="Y277">
        <v>8</v>
      </c>
      <c r="Z277">
        <v>625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60" x14ac:dyDescent="0.3">
      <c r="A278">
        <v>2</v>
      </c>
      <c r="B278" s="4">
        <v>44928</v>
      </c>
      <c r="C278" s="4">
        <v>44995</v>
      </c>
      <c r="D278">
        <v>48</v>
      </c>
      <c r="E278" t="s">
        <v>1091</v>
      </c>
      <c r="F278">
        <v>307</v>
      </c>
      <c r="G278" t="s">
        <v>1092</v>
      </c>
      <c r="H278" t="s">
        <v>79</v>
      </c>
      <c r="I278" t="s">
        <v>1093</v>
      </c>
      <c r="J278" t="s">
        <v>1094</v>
      </c>
      <c r="K278">
        <v>2</v>
      </c>
      <c r="L278">
        <v>1</v>
      </c>
      <c r="M278">
        <v>1</v>
      </c>
      <c r="N278">
        <v>0</v>
      </c>
      <c r="O278">
        <v>1</v>
      </c>
      <c r="P278" t="s">
        <v>69</v>
      </c>
      <c r="Q278">
        <v>2014</v>
      </c>
      <c r="R278" t="s">
        <v>86</v>
      </c>
      <c r="S278" t="s">
        <v>87</v>
      </c>
      <c r="T278">
        <v>5100</v>
      </c>
      <c r="U278">
        <f>shark_tank__1[[#This Row],[Cleaned Yearly Revenue]]/12</f>
        <v>425</v>
      </c>
      <c r="X278">
        <v>150</v>
      </c>
      <c r="Y278">
        <v>0.5</v>
      </c>
      <c r="Z278">
        <v>30000</v>
      </c>
      <c r="AA278">
        <v>1</v>
      </c>
      <c r="AB278">
        <v>1</v>
      </c>
      <c r="AC278">
        <v>100</v>
      </c>
      <c r="AD278">
        <v>1</v>
      </c>
      <c r="AE278">
        <v>50</v>
      </c>
      <c r="AF278">
        <v>12</v>
      </c>
      <c r="AG278">
        <v>10000</v>
      </c>
      <c r="AH278">
        <v>3</v>
      </c>
      <c r="AN278">
        <v>33.33</v>
      </c>
      <c r="AO278">
        <v>0.33300000000000002</v>
      </c>
      <c r="AP278">
        <v>16.66</v>
      </c>
      <c r="AT278">
        <v>33.33</v>
      </c>
      <c r="AU278">
        <v>0.33300000000000002</v>
      </c>
      <c r="AV278">
        <v>16.66</v>
      </c>
      <c r="AW278">
        <v>33.33</v>
      </c>
      <c r="AX278">
        <v>0.33300000000000002</v>
      </c>
      <c r="AY278">
        <v>17</v>
      </c>
    </row>
    <row r="279" spans="1:60" x14ac:dyDescent="0.3">
      <c r="A279">
        <v>2</v>
      </c>
      <c r="B279" s="4">
        <v>44928</v>
      </c>
      <c r="C279" s="4">
        <v>44995</v>
      </c>
      <c r="D279">
        <v>48</v>
      </c>
      <c r="E279" t="s">
        <v>1091</v>
      </c>
      <c r="F279">
        <v>308</v>
      </c>
      <c r="G279" t="s">
        <v>1300</v>
      </c>
      <c r="H279" t="s">
        <v>225</v>
      </c>
      <c r="I279" t="s">
        <v>1478</v>
      </c>
      <c r="J279" t="s">
        <v>1309</v>
      </c>
      <c r="K279">
        <v>1</v>
      </c>
      <c r="L279">
        <v>1</v>
      </c>
      <c r="M279">
        <v>0</v>
      </c>
      <c r="N279">
        <v>0</v>
      </c>
      <c r="O279">
        <v>0</v>
      </c>
      <c r="P279" t="s">
        <v>69</v>
      </c>
      <c r="Q279" t="s">
        <v>1309</v>
      </c>
      <c r="R279" t="s">
        <v>1097</v>
      </c>
      <c r="S279" t="s">
        <v>1098</v>
      </c>
      <c r="U279">
        <f>shark_tank__1[[#This Row],[Cleaned Yearly Revenue]]/12</f>
        <v>0</v>
      </c>
      <c r="X279">
        <v>25</v>
      </c>
      <c r="Y279">
        <v>15</v>
      </c>
      <c r="Z279">
        <v>166.67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60" x14ac:dyDescent="0.3">
      <c r="A280">
        <v>2</v>
      </c>
      <c r="B280" s="4">
        <v>44928</v>
      </c>
      <c r="C280" s="4">
        <v>44995</v>
      </c>
      <c r="D280">
        <v>48</v>
      </c>
      <c r="E280" t="s">
        <v>1091</v>
      </c>
      <c r="F280">
        <v>309</v>
      </c>
      <c r="G280" t="s">
        <v>1301</v>
      </c>
      <c r="H280" t="s">
        <v>635</v>
      </c>
      <c r="I280" t="s">
        <v>1479</v>
      </c>
      <c r="J280" t="s">
        <v>1101</v>
      </c>
      <c r="K280">
        <v>2</v>
      </c>
      <c r="L280">
        <v>1</v>
      </c>
      <c r="M280">
        <v>1</v>
      </c>
      <c r="N280">
        <v>0</v>
      </c>
      <c r="O280">
        <v>1</v>
      </c>
      <c r="P280" t="s">
        <v>69</v>
      </c>
      <c r="Q280" t="s">
        <v>1309</v>
      </c>
      <c r="R280" t="s">
        <v>76</v>
      </c>
      <c r="S280" t="s">
        <v>77</v>
      </c>
      <c r="T280">
        <v>24</v>
      </c>
      <c r="U280">
        <f>shark_tank__1[[#This Row],[Cleaned Yearly Revenue]]/12</f>
        <v>2</v>
      </c>
      <c r="X280">
        <v>35</v>
      </c>
      <c r="Y280">
        <v>5</v>
      </c>
      <c r="Z280">
        <v>700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60" x14ac:dyDescent="0.3">
      <c r="A281">
        <v>2</v>
      </c>
      <c r="B281" s="4">
        <v>44928</v>
      </c>
      <c r="C281" s="4">
        <v>44995</v>
      </c>
      <c r="D281">
        <v>48</v>
      </c>
      <c r="E281" t="s">
        <v>1091</v>
      </c>
      <c r="F281">
        <v>310</v>
      </c>
      <c r="G281" t="s">
        <v>1302</v>
      </c>
      <c r="H281" t="s">
        <v>66</v>
      </c>
      <c r="I281" t="s">
        <v>275</v>
      </c>
      <c r="J281" t="s">
        <v>1103</v>
      </c>
      <c r="K281">
        <v>2</v>
      </c>
      <c r="L281">
        <v>2</v>
      </c>
      <c r="M281">
        <v>0</v>
      </c>
      <c r="N281">
        <v>0</v>
      </c>
      <c r="O281">
        <v>0</v>
      </c>
      <c r="P281" t="s">
        <v>69</v>
      </c>
      <c r="Q281">
        <v>2020</v>
      </c>
      <c r="R281" t="s">
        <v>86</v>
      </c>
      <c r="S281" t="s">
        <v>87</v>
      </c>
      <c r="T281">
        <v>-1</v>
      </c>
      <c r="U281">
        <f>shark_tank__1[[#This Row],[Cleaned Yearly Revenue]]/12</f>
        <v>-8.3333333333333329E-2</v>
      </c>
      <c r="V281">
        <v>65</v>
      </c>
      <c r="X281">
        <v>100</v>
      </c>
      <c r="Y281">
        <v>1</v>
      </c>
      <c r="Z281">
        <v>10000</v>
      </c>
      <c r="AA281">
        <v>1</v>
      </c>
      <c r="AB281">
        <v>1</v>
      </c>
      <c r="AC281">
        <v>50</v>
      </c>
      <c r="AD281">
        <v>1</v>
      </c>
      <c r="AE281">
        <v>50</v>
      </c>
      <c r="AF281">
        <v>10</v>
      </c>
      <c r="AG281">
        <v>5000</v>
      </c>
      <c r="AH281">
        <v>1</v>
      </c>
      <c r="AZ281">
        <v>50</v>
      </c>
      <c r="BA281">
        <v>1</v>
      </c>
      <c r="BB281">
        <v>50</v>
      </c>
    </row>
    <row r="282" spans="1:60" x14ac:dyDescent="0.3">
      <c r="A282">
        <v>2</v>
      </c>
      <c r="B282" s="4">
        <v>44928</v>
      </c>
      <c r="C282" s="4">
        <v>44995</v>
      </c>
      <c r="D282">
        <v>49</v>
      </c>
      <c r="E282" t="s">
        <v>1104</v>
      </c>
      <c r="F282">
        <v>311</v>
      </c>
      <c r="G282" t="s">
        <v>1303</v>
      </c>
      <c r="H282" t="s">
        <v>79</v>
      </c>
      <c r="I282" t="s">
        <v>1480</v>
      </c>
      <c r="J282" t="s">
        <v>1107</v>
      </c>
      <c r="K282">
        <v>1</v>
      </c>
      <c r="L282">
        <v>0</v>
      </c>
      <c r="M282">
        <v>1</v>
      </c>
      <c r="N282">
        <v>0</v>
      </c>
      <c r="O282">
        <v>0</v>
      </c>
      <c r="P282" t="s">
        <v>75</v>
      </c>
      <c r="Q282">
        <v>2021</v>
      </c>
      <c r="R282" t="s">
        <v>1108</v>
      </c>
      <c r="S282" t="s">
        <v>99</v>
      </c>
      <c r="T282">
        <v>50.4</v>
      </c>
      <c r="U282">
        <f>shark_tank__1[[#This Row],[Cleaned Yearly Revenue]]/12</f>
        <v>4.2</v>
      </c>
      <c r="X282">
        <v>20</v>
      </c>
      <c r="Y282">
        <v>10</v>
      </c>
      <c r="Z282">
        <v>200</v>
      </c>
      <c r="AA282">
        <v>1</v>
      </c>
      <c r="AB282">
        <v>1</v>
      </c>
      <c r="AC282">
        <v>20</v>
      </c>
      <c r="AD282">
        <v>20</v>
      </c>
      <c r="AE282">
        <v>0</v>
      </c>
      <c r="AF282">
        <v>0</v>
      </c>
      <c r="AG282">
        <v>100</v>
      </c>
      <c r="AH282">
        <v>4</v>
      </c>
      <c r="AN282">
        <v>5</v>
      </c>
      <c r="AO282">
        <v>5</v>
      </c>
      <c r="AQ282">
        <v>5</v>
      </c>
      <c r="AR282">
        <v>5</v>
      </c>
      <c r="AT282">
        <v>5</v>
      </c>
      <c r="AU282">
        <v>5</v>
      </c>
      <c r="BF282">
        <v>5</v>
      </c>
      <c r="BG282">
        <v>5</v>
      </c>
    </row>
    <row r="283" spans="1:60" x14ac:dyDescent="0.3">
      <c r="A283">
        <v>2</v>
      </c>
      <c r="B283" s="4">
        <v>44928</v>
      </c>
      <c r="C283" s="4">
        <v>44995</v>
      </c>
      <c r="D283">
        <v>49</v>
      </c>
      <c r="E283" t="s">
        <v>1104</v>
      </c>
      <c r="F283">
        <v>312</v>
      </c>
      <c r="G283" t="s">
        <v>1109</v>
      </c>
      <c r="H283" t="s">
        <v>173</v>
      </c>
      <c r="I283" t="s">
        <v>1481</v>
      </c>
      <c r="J283" t="s">
        <v>1111</v>
      </c>
      <c r="K283">
        <v>1</v>
      </c>
      <c r="L283">
        <v>0</v>
      </c>
      <c r="M283">
        <v>1</v>
      </c>
      <c r="N283">
        <v>0</v>
      </c>
      <c r="O283">
        <v>0</v>
      </c>
      <c r="P283" t="s">
        <v>75</v>
      </c>
      <c r="Q283">
        <v>2022</v>
      </c>
      <c r="R283" t="s">
        <v>472</v>
      </c>
      <c r="S283" t="s">
        <v>191</v>
      </c>
      <c r="U283">
        <f>shark_tank__1[[#This Row],[Cleaned Yearly Revenue]]/12</f>
        <v>0</v>
      </c>
      <c r="X283">
        <v>100</v>
      </c>
      <c r="Y283">
        <v>10</v>
      </c>
      <c r="Z283">
        <v>1000</v>
      </c>
      <c r="AA283">
        <v>1</v>
      </c>
      <c r="AB283">
        <v>1</v>
      </c>
      <c r="AC283">
        <v>100</v>
      </c>
      <c r="AD283">
        <v>10</v>
      </c>
      <c r="AE283">
        <v>0</v>
      </c>
      <c r="AF283">
        <v>0</v>
      </c>
      <c r="AG283">
        <v>1000</v>
      </c>
      <c r="AH283">
        <v>5</v>
      </c>
      <c r="AJ283">
        <v>1</v>
      </c>
      <c r="AN283">
        <v>20</v>
      </c>
      <c r="AO283">
        <v>2</v>
      </c>
      <c r="AQ283">
        <v>20</v>
      </c>
      <c r="AR283">
        <v>2</v>
      </c>
      <c r="AW283">
        <v>20</v>
      </c>
      <c r="AX283">
        <v>2</v>
      </c>
      <c r="AZ283">
        <v>20</v>
      </c>
      <c r="BA283">
        <v>2</v>
      </c>
      <c r="BF283">
        <v>20</v>
      </c>
      <c r="BG283">
        <v>2</v>
      </c>
    </row>
    <row r="284" spans="1:60" x14ac:dyDescent="0.3">
      <c r="A284">
        <v>2</v>
      </c>
      <c r="B284" s="4">
        <v>44928</v>
      </c>
      <c r="C284" s="4">
        <v>44995</v>
      </c>
      <c r="D284">
        <v>49</v>
      </c>
      <c r="E284" t="s">
        <v>1104</v>
      </c>
      <c r="F284">
        <v>313</v>
      </c>
      <c r="G284" t="s">
        <v>1304</v>
      </c>
      <c r="H284" t="s">
        <v>66</v>
      </c>
      <c r="I284" t="s">
        <v>1482</v>
      </c>
      <c r="J284" t="s">
        <v>1114</v>
      </c>
      <c r="K284">
        <v>3</v>
      </c>
      <c r="L284">
        <v>3</v>
      </c>
      <c r="M284">
        <v>0</v>
      </c>
      <c r="N284">
        <v>0</v>
      </c>
      <c r="O284">
        <v>0</v>
      </c>
      <c r="P284" t="s">
        <v>69</v>
      </c>
      <c r="Q284">
        <v>2021</v>
      </c>
      <c r="R284" t="s">
        <v>134</v>
      </c>
      <c r="S284" t="s">
        <v>99</v>
      </c>
      <c r="T284">
        <v>-1</v>
      </c>
      <c r="U284">
        <f>shark_tank__1[[#This Row],[Cleaned Yearly Revenue]]/12</f>
        <v>-8.3333333333333329E-2</v>
      </c>
      <c r="X284">
        <v>50</v>
      </c>
      <c r="Y284">
        <v>1</v>
      </c>
      <c r="Z284">
        <v>5000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60" x14ac:dyDescent="0.3">
      <c r="A285">
        <v>2</v>
      </c>
      <c r="B285" s="4">
        <v>44928</v>
      </c>
      <c r="C285" s="4">
        <v>44995</v>
      </c>
      <c r="D285">
        <v>49</v>
      </c>
      <c r="E285" t="s">
        <v>1104</v>
      </c>
      <c r="F285">
        <v>314</v>
      </c>
      <c r="G285" t="s">
        <v>1483</v>
      </c>
      <c r="H285" t="s">
        <v>79</v>
      </c>
      <c r="I285" t="s">
        <v>1116</v>
      </c>
      <c r="J285" t="s">
        <v>1117</v>
      </c>
      <c r="K285">
        <v>3</v>
      </c>
      <c r="L285">
        <v>2</v>
      </c>
      <c r="M285">
        <v>1</v>
      </c>
      <c r="N285">
        <v>0</v>
      </c>
      <c r="O285">
        <v>0</v>
      </c>
      <c r="P285" t="s">
        <v>69</v>
      </c>
      <c r="Q285">
        <v>2018</v>
      </c>
      <c r="R285" t="s">
        <v>76</v>
      </c>
      <c r="S285" t="s">
        <v>77</v>
      </c>
      <c r="U285">
        <f>shark_tank__1[[#This Row],[Cleaned Yearly Revenue]]/12</f>
        <v>0</v>
      </c>
      <c r="X285">
        <v>75</v>
      </c>
      <c r="Y285">
        <v>3</v>
      </c>
      <c r="Z285">
        <v>2500</v>
      </c>
      <c r="AA285">
        <v>1</v>
      </c>
      <c r="AB285">
        <v>1</v>
      </c>
      <c r="AC285">
        <v>10</v>
      </c>
      <c r="AD285">
        <v>1</v>
      </c>
      <c r="AE285">
        <v>65</v>
      </c>
      <c r="AF285">
        <v>18</v>
      </c>
      <c r="AG285">
        <v>1000</v>
      </c>
      <c r="AH285">
        <v>1</v>
      </c>
      <c r="BF285">
        <v>10</v>
      </c>
      <c r="BG285">
        <v>1</v>
      </c>
      <c r="BH285">
        <v>65</v>
      </c>
    </row>
    <row r="286" spans="1:60" x14ac:dyDescent="0.3">
      <c r="A286">
        <v>2</v>
      </c>
      <c r="B286" s="4">
        <v>44928</v>
      </c>
      <c r="C286" s="4">
        <v>44995</v>
      </c>
      <c r="D286">
        <v>50</v>
      </c>
      <c r="E286" t="s">
        <v>1118</v>
      </c>
      <c r="F286">
        <v>315</v>
      </c>
      <c r="G286" t="s">
        <v>1306</v>
      </c>
      <c r="H286" t="s">
        <v>79</v>
      </c>
      <c r="I286" t="s">
        <v>1120</v>
      </c>
      <c r="J286" t="s">
        <v>1121</v>
      </c>
      <c r="K286">
        <v>1</v>
      </c>
      <c r="L286">
        <v>0</v>
      </c>
      <c r="M286">
        <v>1</v>
      </c>
      <c r="N286">
        <v>0</v>
      </c>
      <c r="O286">
        <v>0</v>
      </c>
      <c r="P286" t="s">
        <v>69</v>
      </c>
      <c r="Q286">
        <v>2017</v>
      </c>
      <c r="R286" t="s">
        <v>134</v>
      </c>
      <c r="S286" t="s">
        <v>99</v>
      </c>
      <c r="T286">
        <v>670</v>
      </c>
      <c r="U286">
        <f>shark_tank__1[[#This Row],[Cleaned Yearly Revenue]]/12</f>
        <v>55.833333333333336</v>
      </c>
      <c r="W286">
        <v>30</v>
      </c>
      <c r="X286">
        <v>100</v>
      </c>
      <c r="Y286">
        <v>2</v>
      </c>
      <c r="Z286">
        <v>5000</v>
      </c>
      <c r="AA286">
        <v>1</v>
      </c>
      <c r="AB286">
        <v>1</v>
      </c>
      <c r="AC286">
        <v>100</v>
      </c>
      <c r="AD286">
        <v>2</v>
      </c>
      <c r="AE286">
        <v>0</v>
      </c>
      <c r="AF286">
        <v>0</v>
      </c>
      <c r="AG286">
        <v>5000</v>
      </c>
      <c r="AH286">
        <v>1</v>
      </c>
      <c r="BF286">
        <v>100</v>
      </c>
      <c r="BG286">
        <v>2</v>
      </c>
    </row>
    <row r="287" spans="1:60" x14ac:dyDescent="0.3">
      <c r="A287">
        <v>2</v>
      </c>
      <c r="B287" s="4">
        <v>44928</v>
      </c>
      <c r="C287" s="4">
        <v>44995</v>
      </c>
      <c r="D287">
        <v>50</v>
      </c>
      <c r="E287" t="s">
        <v>1118</v>
      </c>
      <c r="F287">
        <v>316</v>
      </c>
      <c r="G287" t="s">
        <v>1484</v>
      </c>
      <c r="H287" t="s">
        <v>72</v>
      </c>
      <c r="I287" t="s">
        <v>1485</v>
      </c>
      <c r="J287" t="s">
        <v>1124</v>
      </c>
      <c r="K287">
        <v>1</v>
      </c>
      <c r="L287">
        <v>1</v>
      </c>
      <c r="M287">
        <v>0</v>
      </c>
      <c r="N287">
        <v>0</v>
      </c>
      <c r="O287">
        <v>0</v>
      </c>
      <c r="P287" t="s">
        <v>69</v>
      </c>
      <c r="Q287" t="s">
        <v>1309</v>
      </c>
      <c r="R287" t="s">
        <v>76</v>
      </c>
      <c r="S287" t="s">
        <v>77</v>
      </c>
      <c r="T287">
        <v>-1</v>
      </c>
      <c r="U287">
        <f>shark_tank__1[[#This Row],[Cleaned Yearly Revenue]]/12</f>
        <v>-8.3333333333333329E-2</v>
      </c>
      <c r="X287">
        <v>200</v>
      </c>
      <c r="Y287">
        <v>1</v>
      </c>
      <c r="Z287">
        <v>20000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60" x14ac:dyDescent="0.3">
      <c r="A288">
        <v>2</v>
      </c>
      <c r="B288" s="4">
        <v>44928</v>
      </c>
      <c r="C288" s="4">
        <v>44995</v>
      </c>
      <c r="D288">
        <v>51</v>
      </c>
      <c r="E288" t="s">
        <v>526</v>
      </c>
      <c r="F288">
        <v>317</v>
      </c>
      <c r="G288" t="s">
        <v>1486</v>
      </c>
      <c r="H288" t="s">
        <v>66</v>
      </c>
      <c r="I288" t="s">
        <v>1487</v>
      </c>
      <c r="J288" t="s">
        <v>1127</v>
      </c>
      <c r="K288">
        <v>2</v>
      </c>
      <c r="L288">
        <v>1</v>
      </c>
      <c r="M288">
        <v>1</v>
      </c>
      <c r="N288">
        <v>0</v>
      </c>
      <c r="O288">
        <v>0</v>
      </c>
      <c r="P288" t="s">
        <v>69</v>
      </c>
      <c r="Q288" t="s">
        <v>1309</v>
      </c>
      <c r="R288" t="s">
        <v>86</v>
      </c>
      <c r="S288" t="s">
        <v>87</v>
      </c>
      <c r="T288">
        <v>-1</v>
      </c>
      <c r="U288">
        <f>shark_tank__1[[#This Row],[Cleaned Yearly Revenue]]/12</f>
        <v>-8.3333333333333329E-2</v>
      </c>
      <c r="X288">
        <v>90</v>
      </c>
      <c r="Y288">
        <v>0.5</v>
      </c>
      <c r="Z288">
        <v>18000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64" x14ac:dyDescent="0.3">
      <c r="A289">
        <v>2</v>
      </c>
      <c r="B289" s="4">
        <v>44928</v>
      </c>
      <c r="C289" s="4">
        <v>44995</v>
      </c>
      <c r="D289">
        <v>51</v>
      </c>
      <c r="E289" t="s">
        <v>526</v>
      </c>
      <c r="F289">
        <v>318</v>
      </c>
      <c r="G289" t="s">
        <v>1488</v>
      </c>
      <c r="H289" t="s">
        <v>79</v>
      </c>
      <c r="I289" t="s">
        <v>1489</v>
      </c>
      <c r="J289" t="s">
        <v>1130</v>
      </c>
      <c r="K289">
        <v>2</v>
      </c>
      <c r="L289">
        <v>1</v>
      </c>
      <c r="M289">
        <v>1</v>
      </c>
      <c r="N289">
        <v>0</v>
      </c>
      <c r="O289">
        <v>1</v>
      </c>
      <c r="P289" t="s">
        <v>69</v>
      </c>
      <c r="Q289" t="s">
        <v>1309</v>
      </c>
      <c r="R289" t="s">
        <v>134</v>
      </c>
      <c r="S289" t="s">
        <v>99</v>
      </c>
      <c r="T289">
        <v>-1</v>
      </c>
      <c r="U289">
        <f>shark_tank__1[[#This Row],[Cleaned Yearly Revenue]]/12</f>
        <v>-8.3333333333333329E-2</v>
      </c>
      <c r="X289">
        <v>150</v>
      </c>
      <c r="Y289">
        <v>0.5</v>
      </c>
      <c r="Z289">
        <v>30000</v>
      </c>
      <c r="AA289">
        <v>1</v>
      </c>
      <c r="AB289">
        <v>1</v>
      </c>
      <c r="AC289">
        <v>81</v>
      </c>
      <c r="AD289">
        <v>1</v>
      </c>
      <c r="AE289">
        <v>69</v>
      </c>
      <c r="AF289">
        <v>12</v>
      </c>
      <c r="AG289">
        <v>8100</v>
      </c>
      <c r="AH289">
        <v>2</v>
      </c>
      <c r="AW289">
        <v>40.5</v>
      </c>
      <c r="AX289">
        <v>0.5</v>
      </c>
      <c r="AY289">
        <v>34</v>
      </c>
      <c r="BI289">
        <v>40.5</v>
      </c>
      <c r="BJ289">
        <v>0.5</v>
      </c>
      <c r="BK289">
        <v>34.5</v>
      </c>
      <c r="BL289" t="s">
        <v>1131</v>
      </c>
    </row>
    <row r="290" spans="1:64" x14ac:dyDescent="0.3">
      <c r="A290">
        <v>2</v>
      </c>
      <c r="B290" s="4">
        <v>44928</v>
      </c>
      <c r="C290" s="4">
        <v>44995</v>
      </c>
      <c r="D290">
        <v>51</v>
      </c>
      <c r="E290" t="s">
        <v>526</v>
      </c>
      <c r="F290">
        <v>319</v>
      </c>
      <c r="G290" t="s">
        <v>1307</v>
      </c>
      <c r="H290" t="s">
        <v>597</v>
      </c>
      <c r="I290" t="s">
        <v>1490</v>
      </c>
      <c r="J290" t="s">
        <v>1134</v>
      </c>
      <c r="K290">
        <v>2</v>
      </c>
      <c r="L290">
        <v>1</v>
      </c>
      <c r="M290">
        <v>1</v>
      </c>
      <c r="N290">
        <v>0</v>
      </c>
      <c r="O290">
        <v>1</v>
      </c>
      <c r="P290" t="s">
        <v>69</v>
      </c>
      <c r="Q290">
        <v>2017</v>
      </c>
      <c r="R290" t="s">
        <v>1135</v>
      </c>
      <c r="S290" t="s">
        <v>1136</v>
      </c>
      <c r="U290">
        <f>shark_tank__1[[#This Row],[Cleaned Yearly Revenue]]/12</f>
        <v>0</v>
      </c>
      <c r="V290">
        <v>50</v>
      </c>
      <c r="W290">
        <v>18</v>
      </c>
      <c r="X290">
        <v>75</v>
      </c>
      <c r="Y290">
        <v>2.5</v>
      </c>
      <c r="Z290">
        <v>3000</v>
      </c>
      <c r="AA290">
        <v>1</v>
      </c>
      <c r="AB290">
        <v>1</v>
      </c>
      <c r="AC290">
        <v>50</v>
      </c>
      <c r="AD290">
        <v>5</v>
      </c>
      <c r="AE290">
        <v>25</v>
      </c>
      <c r="AF290">
        <v>10</v>
      </c>
      <c r="AG290">
        <v>1000</v>
      </c>
      <c r="AH290">
        <v>2</v>
      </c>
      <c r="AT290">
        <v>25</v>
      </c>
      <c r="AU290">
        <v>2.5</v>
      </c>
      <c r="AV290">
        <v>12.5</v>
      </c>
      <c r="BI290">
        <v>25</v>
      </c>
      <c r="BJ290">
        <v>2.5</v>
      </c>
      <c r="BK290">
        <v>12.5</v>
      </c>
      <c r="BL290" t="s">
        <v>1131</v>
      </c>
    </row>
    <row r="291" spans="1:64" x14ac:dyDescent="0.3">
      <c r="A291">
        <v>2</v>
      </c>
      <c r="B291" s="4">
        <v>44928</v>
      </c>
      <c r="C291" s="4">
        <v>44995</v>
      </c>
      <c r="D291">
        <v>51</v>
      </c>
      <c r="E291" t="s">
        <v>526</v>
      </c>
      <c r="F291">
        <v>320</v>
      </c>
      <c r="G291" t="s">
        <v>1308</v>
      </c>
      <c r="H291" t="s">
        <v>79</v>
      </c>
      <c r="I291" t="s">
        <v>1138</v>
      </c>
      <c r="J291" t="s">
        <v>1139</v>
      </c>
      <c r="K291">
        <v>2</v>
      </c>
      <c r="L291">
        <v>1</v>
      </c>
      <c r="M291">
        <v>1</v>
      </c>
      <c r="N291">
        <v>0</v>
      </c>
      <c r="P291" t="s">
        <v>69</v>
      </c>
      <c r="Q291" t="s">
        <v>1309</v>
      </c>
      <c r="R291" t="s">
        <v>70</v>
      </c>
      <c r="S291" t="s">
        <v>70</v>
      </c>
      <c r="T291">
        <v>1400</v>
      </c>
      <c r="U291">
        <f>shark_tank__1[[#This Row],[Cleaned Yearly Revenue]]/12</f>
        <v>116.66666666666667</v>
      </c>
      <c r="W291">
        <v>18</v>
      </c>
      <c r="X291">
        <v>80</v>
      </c>
      <c r="Y291">
        <v>2</v>
      </c>
      <c r="Z291">
        <v>4000</v>
      </c>
      <c r="AA291">
        <v>1</v>
      </c>
      <c r="AB291">
        <v>1</v>
      </c>
      <c r="AC291">
        <v>80</v>
      </c>
      <c r="AD291">
        <v>10</v>
      </c>
      <c r="AE291">
        <v>0</v>
      </c>
      <c r="AF291">
        <v>0</v>
      </c>
      <c r="AG291">
        <v>800</v>
      </c>
      <c r="AH291">
        <v>1</v>
      </c>
      <c r="BF291">
        <v>80</v>
      </c>
      <c r="BG29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5DD6-5122-4896-9890-37C99D760445}">
  <dimension ref="A1:BM291"/>
  <sheetViews>
    <sheetView topLeftCell="P1" workbookViewId="0">
      <selection activeCell="V6" sqref="V6"/>
    </sheetView>
  </sheetViews>
  <sheetFormatPr defaultRowHeight="14.4" x14ac:dyDescent="0.3"/>
  <cols>
    <col min="1" max="1" width="13.88671875" bestFit="1" customWidth="1"/>
    <col min="2" max="2" width="11.109375" bestFit="1" customWidth="1"/>
    <col min="3" max="3" width="10.21875" bestFit="1" customWidth="1"/>
    <col min="4" max="4" width="14.44140625" bestFit="1" customWidth="1"/>
    <col min="5" max="5" width="39.33203125" bestFit="1" customWidth="1"/>
    <col min="6" max="6" width="12" bestFit="1" customWidth="1"/>
    <col min="7" max="7" width="12" customWidth="1"/>
    <col min="8" max="8" width="30.6640625" bestFit="1" customWidth="1"/>
    <col min="9" max="9" width="23.33203125" bestFit="1" customWidth="1"/>
    <col min="10" max="10" width="76.77734375" bestFit="1" customWidth="1"/>
    <col min="11" max="11" width="56.109375" bestFit="1" customWidth="1"/>
    <col min="12" max="12" width="19" bestFit="1" customWidth="1"/>
    <col min="13" max="13" width="14.21875" bestFit="1" customWidth="1"/>
    <col min="14" max="14" width="16" bestFit="1" customWidth="1"/>
    <col min="15" max="15" width="20.21875" bestFit="1" customWidth="1"/>
    <col min="16" max="16" width="15.77734375" bestFit="1" customWidth="1"/>
    <col min="17" max="17" width="18.109375" bestFit="1" customWidth="1"/>
    <col min="18" max="18" width="8.77734375" bestFit="1" customWidth="1"/>
    <col min="19" max="19" width="23.6640625" bestFit="1" customWidth="1"/>
    <col min="20" max="20" width="23.21875" bestFit="1" customWidth="1"/>
    <col min="21" max="21" width="13.5546875" bestFit="1" customWidth="1"/>
    <col min="22" max="22" width="12.33203125" bestFit="1" customWidth="1"/>
    <col min="23" max="23" width="11.6640625" bestFit="1" customWidth="1"/>
    <col min="24" max="24" width="10.109375" bestFit="1" customWidth="1"/>
    <col min="25" max="25" width="17.5546875" bestFit="1" customWidth="1"/>
    <col min="26" max="26" width="19.6640625" bestFit="1" customWidth="1"/>
    <col min="27" max="27" width="18" bestFit="1" customWidth="1"/>
    <col min="28" max="28" width="13.21875" bestFit="1" customWidth="1"/>
    <col min="29" max="29" width="13.44140625" bestFit="1" customWidth="1"/>
    <col min="30" max="30" width="16.33203125" bestFit="1" customWidth="1"/>
    <col min="31" max="31" width="14.88671875" bestFit="1" customWidth="1"/>
    <col min="32" max="32" width="13.77734375" bestFit="1" customWidth="1"/>
    <col min="33" max="33" width="11.6640625" bestFit="1" customWidth="1"/>
    <col min="34" max="34" width="12.88671875" bestFit="1" customWidth="1"/>
    <col min="35" max="35" width="21.44140625" bestFit="1" customWidth="1"/>
    <col min="36" max="36" width="16.88671875" bestFit="1" customWidth="1"/>
    <col min="37" max="37" width="10.5546875" bestFit="1" customWidth="1"/>
    <col min="38" max="38" width="24.33203125" bestFit="1" customWidth="1"/>
    <col min="39" max="39" width="22.88671875" bestFit="1" customWidth="1"/>
    <col min="40" max="40" width="19" bestFit="1" customWidth="1"/>
    <col min="41" max="41" width="23.77734375" bestFit="1" customWidth="1"/>
    <col min="42" max="42" width="22.33203125" bestFit="1" customWidth="1"/>
    <col min="43" max="43" width="18.44140625" bestFit="1" customWidth="1"/>
    <col min="44" max="44" width="24.44140625" bestFit="1" customWidth="1"/>
    <col min="45" max="45" width="23" bestFit="1" customWidth="1"/>
    <col min="46" max="46" width="19.109375" bestFit="1" customWidth="1"/>
    <col min="47" max="47" width="24" bestFit="1" customWidth="1"/>
    <col min="48" max="48" width="22.5546875" bestFit="1" customWidth="1"/>
    <col min="49" max="49" width="18.6640625" bestFit="1" customWidth="1"/>
    <col min="50" max="50" width="22.44140625" bestFit="1" customWidth="1"/>
    <col min="51" max="51" width="20.88671875" bestFit="1" customWidth="1"/>
    <col min="52" max="52" width="17" bestFit="1" customWidth="1"/>
    <col min="53" max="53" width="23.44140625" bestFit="1" customWidth="1"/>
    <col min="54" max="54" width="22" bestFit="1" customWidth="1"/>
    <col min="55" max="55" width="18.109375" bestFit="1" customWidth="1"/>
    <col min="56" max="56" width="23.21875" bestFit="1" customWidth="1"/>
    <col min="57" max="57" width="21.77734375" bestFit="1" customWidth="1"/>
    <col min="58" max="58" width="17.88671875" bestFit="1" customWidth="1"/>
    <col min="59" max="59" width="21.5546875" bestFit="1" customWidth="1"/>
    <col min="60" max="60" width="20" bestFit="1" customWidth="1"/>
    <col min="61" max="61" width="16.109375" bestFit="1" customWidth="1"/>
    <col min="62" max="62" width="22.44140625" bestFit="1" customWidth="1"/>
    <col min="63" max="63" width="20.88671875" bestFit="1" customWidth="1"/>
    <col min="64" max="64" width="17" bestFit="1" customWidth="1"/>
    <col min="65" max="65" width="11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3">
      <c r="A2">
        <v>1</v>
      </c>
      <c r="B2" s="1">
        <v>44550</v>
      </c>
      <c r="C2" s="1">
        <v>44596</v>
      </c>
      <c r="D2">
        <v>1</v>
      </c>
      <c r="E2" t="s">
        <v>64</v>
      </c>
      <c r="F2">
        <v>1</v>
      </c>
      <c r="G2" t="s">
        <v>1140</v>
      </c>
      <c r="H2" t="s">
        <v>65</v>
      </c>
      <c r="I2" t="s">
        <v>66</v>
      </c>
      <c r="J2" t="s">
        <v>67</v>
      </c>
      <c r="K2" t="s">
        <v>68</v>
      </c>
      <c r="L2">
        <v>3</v>
      </c>
      <c r="M2">
        <v>2</v>
      </c>
      <c r="N2">
        <v>1</v>
      </c>
      <c r="O2">
        <v>0</v>
      </c>
      <c r="P2">
        <v>0</v>
      </c>
      <c r="Q2" t="s">
        <v>69</v>
      </c>
      <c r="R2">
        <v>2016</v>
      </c>
      <c r="S2" t="s">
        <v>70</v>
      </c>
      <c r="T2" t="s">
        <v>70</v>
      </c>
      <c r="U2">
        <v>95</v>
      </c>
      <c r="V2">
        <v>8</v>
      </c>
      <c r="Y2">
        <v>50</v>
      </c>
      <c r="Z2">
        <v>5</v>
      </c>
      <c r="AA2">
        <v>1000</v>
      </c>
      <c r="AB2">
        <v>1</v>
      </c>
      <c r="AC2">
        <v>1</v>
      </c>
      <c r="AD2">
        <v>75</v>
      </c>
      <c r="AE2">
        <v>16</v>
      </c>
      <c r="AH2">
        <v>469</v>
      </c>
      <c r="AI2">
        <v>3</v>
      </c>
      <c r="AL2">
        <v>25</v>
      </c>
      <c r="AM2">
        <v>5.33</v>
      </c>
      <c r="AU2">
        <v>25</v>
      </c>
      <c r="AV2">
        <v>5.33</v>
      </c>
      <c r="AX2">
        <v>25</v>
      </c>
      <c r="AY2">
        <v>5.33</v>
      </c>
    </row>
    <row r="3" spans="1:65" x14ac:dyDescent="0.3">
      <c r="A3">
        <v>1</v>
      </c>
      <c r="B3" s="1">
        <v>44550</v>
      </c>
      <c r="C3" s="1">
        <v>44596</v>
      </c>
      <c r="D3">
        <v>1</v>
      </c>
      <c r="E3" t="s">
        <v>64</v>
      </c>
      <c r="F3">
        <v>2</v>
      </c>
      <c r="G3" t="s">
        <v>1141</v>
      </c>
      <c r="H3" t="s">
        <v>71</v>
      </c>
      <c r="I3" t="s">
        <v>72</v>
      </c>
      <c r="J3" t="s">
        <v>73</v>
      </c>
      <c r="K3" t="s">
        <v>74</v>
      </c>
      <c r="L3">
        <v>1</v>
      </c>
      <c r="M3">
        <v>1</v>
      </c>
      <c r="N3">
        <v>0</v>
      </c>
      <c r="O3">
        <v>0</v>
      </c>
      <c r="P3">
        <v>0</v>
      </c>
      <c r="Q3" t="s">
        <v>75</v>
      </c>
      <c r="R3">
        <v>2017</v>
      </c>
      <c r="S3" t="s">
        <v>76</v>
      </c>
      <c r="T3" t="s">
        <v>77</v>
      </c>
      <c r="U3">
        <v>4</v>
      </c>
      <c r="V3">
        <v>0.4</v>
      </c>
      <c r="Y3">
        <v>40</v>
      </c>
      <c r="Z3">
        <v>15</v>
      </c>
      <c r="AA3">
        <v>267</v>
      </c>
      <c r="AB3">
        <v>1</v>
      </c>
      <c r="AC3">
        <v>1</v>
      </c>
      <c r="AD3">
        <v>40</v>
      </c>
      <c r="AE3">
        <v>50</v>
      </c>
      <c r="AH3">
        <v>80</v>
      </c>
      <c r="AI3">
        <v>2</v>
      </c>
      <c r="AL3">
        <v>20</v>
      </c>
      <c r="AM3">
        <v>25</v>
      </c>
      <c r="AU3">
        <v>20</v>
      </c>
      <c r="AV3">
        <v>25</v>
      </c>
    </row>
    <row r="4" spans="1:65" x14ac:dyDescent="0.3">
      <c r="A4">
        <v>1</v>
      </c>
      <c r="B4" s="1">
        <v>44550</v>
      </c>
      <c r="C4" s="1">
        <v>44596</v>
      </c>
      <c r="D4">
        <v>1</v>
      </c>
      <c r="E4" t="s">
        <v>64</v>
      </c>
      <c r="F4">
        <v>3</v>
      </c>
      <c r="G4" t="s">
        <v>1142</v>
      </c>
      <c r="H4" t="s">
        <v>78</v>
      </c>
      <c r="I4" t="s">
        <v>79</v>
      </c>
      <c r="J4" t="s">
        <v>80</v>
      </c>
      <c r="K4" t="s">
        <v>81</v>
      </c>
      <c r="L4">
        <v>1</v>
      </c>
      <c r="M4">
        <v>0</v>
      </c>
      <c r="N4">
        <v>1</v>
      </c>
      <c r="O4">
        <v>0</v>
      </c>
      <c r="P4">
        <v>0</v>
      </c>
      <c r="Q4" t="s">
        <v>75</v>
      </c>
      <c r="R4">
        <v>2021</v>
      </c>
      <c r="S4" t="s">
        <v>70</v>
      </c>
      <c r="T4" t="s">
        <v>70</v>
      </c>
      <c r="U4">
        <f>V4*12</f>
        <v>24</v>
      </c>
      <c r="V4">
        <v>2</v>
      </c>
      <c r="Y4">
        <v>25</v>
      </c>
      <c r="Z4">
        <v>10</v>
      </c>
      <c r="AA4">
        <v>250</v>
      </c>
      <c r="AB4">
        <v>1</v>
      </c>
      <c r="AC4">
        <v>1</v>
      </c>
      <c r="AD4">
        <v>25</v>
      </c>
      <c r="AE4">
        <v>30</v>
      </c>
      <c r="AH4">
        <v>83</v>
      </c>
      <c r="AI4">
        <v>2</v>
      </c>
      <c r="AR4">
        <v>12.5</v>
      </c>
      <c r="AS4">
        <v>15</v>
      </c>
      <c r="AU4">
        <v>12.5</v>
      </c>
      <c r="AV4">
        <v>15</v>
      </c>
    </row>
    <row r="5" spans="1:65" x14ac:dyDescent="0.3">
      <c r="A5">
        <v>1</v>
      </c>
      <c r="B5" s="1">
        <v>44550</v>
      </c>
      <c r="C5" s="1">
        <v>44596</v>
      </c>
      <c r="D5">
        <v>2</v>
      </c>
      <c r="E5" t="s">
        <v>82</v>
      </c>
      <c r="F5">
        <v>4</v>
      </c>
      <c r="G5" t="s">
        <v>1143</v>
      </c>
      <c r="H5" t="s">
        <v>83</v>
      </c>
      <c r="I5" t="s">
        <v>66</v>
      </c>
      <c r="J5" t="s">
        <v>84</v>
      </c>
      <c r="K5" t="s">
        <v>85</v>
      </c>
      <c r="L5">
        <v>2</v>
      </c>
      <c r="M5">
        <v>2</v>
      </c>
      <c r="N5">
        <v>0</v>
      </c>
      <c r="O5">
        <v>0</v>
      </c>
      <c r="P5">
        <v>0</v>
      </c>
      <c r="Q5" t="s">
        <v>69</v>
      </c>
      <c r="R5">
        <v>2019</v>
      </c>
      <c r="S5" t="s">
        <v>86</v>
      </c>
      <c r="T5" t="s">
        <v>87</v>
      </c>
      <c r="U5">
        <v>700</v>
      </c>
      <c r="V5" s="3">
        <f>U5/12</f>
        <v>58.333333333333336</v>
      </c>
      <c r="W5">
        <v>48</v>
      </c>
      <c r="Y5">
        <v>70</v>
      </c>
      <c r="Z5">
        <v>1</v>
      </c>
      <c r="AA5">
        <v>7000</v>
      </c>
      <c r="AB5">
        <v>1</v>
      </c>
      <c r="AC5">
        <v>1</v>
      </c>
      <c r="AD5">
        <v>70</v>
      </c>
      <c r="AE5">
        <v>2.75</v>
      </c>
      <c r="AH5">
        <v>2545</v>
      </c>
      <c r="AI5">
        <v>1</v>
      </c>
      <c r="AL5">
        <v>70</v>
      </c>
      <c r="AM5">
        <v>2.75</v>
      </c>
    </row>
    <row r="6" spans="1:65" x14ac:dyDescent="0.3">
      <c r="A6">
        <v>1</v>
      </c>
      <c r="B6" s="1">
        <v>44550</v>
      </c>
      <c r="C6" s="1">
        <v>44596</v>
      </c>
      <c r="D6">
        <v>2</v>
      </c>
      <c r="E6" t="s">
        <v>82</v>
      </c>
      <c r="F6">
        <v>5</v>
      </c>
      <c r="G6" t="s">
        <v>1144</v>
      </c>
      <c r="H6" t="s">
        <v>88</v>
      </c>
      <c r="I6" t="s">
        <v>89</v>
      </c>
      <c r="J6" t="s">
        <v>90</v>
      </c>
      <c r="K6" t="s">
        <v>91</v>
      </c>
      <c r="L6">
        <v>4</v>
      </c>
      <c r="M6">
        <v>1</v>
      </c>
      <c r="N6">
        <v>3</v>
      </c>
      <c r="O6">
        <v>0</v>
      </c>
      <c r="P6">
        <v>1</v>
      </c>
      <c r="Q6" t="s">
        <v>69</v>
      </c>
      <c r="R6">
        <v>2015</v>
      </c>
      <c r="S6" t="s">
        <v>92</v>
      </c>
      <c r="T6" t="s">
        <v>93</v>
      </c>
      <c r="U6">
        <v>30</v>
      </c>
      <c r="Y6">
        <v>50</v>
      </c>
      <c r="Z6">
        <v>5</v>
      </c>
      <c r="AA6">
        <v>1000</v>
      </c>
      <c r="AB6">
        <v>0</v>
      </c>
    </row>
    <row r="7" spans="1:65" x14ac:dyDescent="0.3">
      <c r="A7">
        <v>1</v>
      </c>
      <c r="B7" s="1">
        <v>44550</v>
      </c>
      <c r="C7" s="1">
        <v>44596</v>
      </c>
      <c r="D7">
        <v>2</v>
      </c>
      <c r="E7" t="s">
        <v>82</v>
      </c>
      <c r="F7">
        <v>6</v>
      </c>
      <c r="G7" t="s">
        <v>94</v>
      </c>
      <c r="H7" t="s">
        <v>94</v>
      </c>
      <c r="I7" t="s">
        <v>95</v>
      </c>
      <c r="J7" t="s">
        <v>96</v>
      </c>
      <c r="K7" t="s">
        <v>97</v>
      </c>
      <c r="L7">
        <v>2</v>
      </c>
      <c r="M7">
        <v>1</v>
      </c>
      <c r="N7">
        <v>1</v>
      </c>
      <c r="O7">
        <v>0</v>
      </c>
      <c r="P7">
        <v>1</v>
      </c>
      <c r="Q7" t="s">
        <v>69</v>
      </c>
      <c r="R7">
        <v>2005</v>
      </c>
      <c r="S7" t="s">
        <v>98</v>
      </c>
      <c r="T7" t="s">
        <v>99</v>
      </c>
      <c r="U7">
        <v>79</v>
      </c>
      <c r="Y7">
        <v>50</v>
      </c>
      <c r="Z7">
        <v>5</v>
      </c>
      <c r="AA7">
        <v>1000</v>
      </c>
      <c r="AB7">
        <v>0</v>
      </c>
    </row>
    <row r="8" spans="1:65" x14ac:dyDescent="0.3">
      <c r="A8">
        <v>1</v>
      </c>
      <c r="B8" s="1">
        <v>44550</v>
      </c>
      <c r="C8" s="1">
        <v>44596</v>
      </c>
      <c r="D8">
        <v>3</v>
      </c>
      <c r="E8" t="s">
        <v>100</v>
      </c>
      <c r="F8">
        <v>7</v>
      </c>
      <c r="G8" t="s">
        <v>1145</v>
      </c>
      <c r="H8" t="s">
        <v>101</v>
      </c>
      <c r="I8" t="s">
        <v>66</v>
      </c>
      <c r="J8" t="s">
        <v>102</v>
      </c>
      <c r="K8" t="s">
        <v>103</v>
      </c>
      <c r="L8">
        <v>2</v>
      </c>
      <c r="M8">
        <v>0</v>
      </c>
      <c r="N8">
        <v>2</v>
      </c>
      <c r="O8">
        <v>0</v>
      </c>
      <c r="P8">
        <v>0</v>
      </c>
      <c r="Q8" t="s">
        <v>69</v>
      </c>
      <c r="R8">
        <v>2020</v>
      </c>
      <c r="S8" t="s">
        <v>104</v>
      </c>
      <c r="T8" t="s">
        <v>105</v>
      </c>
      <c r="U8">
        <v>25</v>
      </c>
      <c r="Y8">
        <v>100</v>
      </c>
      <c r="Z8">
        <v>0.25</v>
      </c>
      <c r="AA8">
        <v>40000</v>
      </c>
      <c r="AB8">
        <v>1</v>
      </c>
      <c r="AC8">
        <v>0</v>
      </c>
    </row>
    <row r="9" spans="1:65" x14ac:dyDescent="0.3">
      <c r="A9">
        <v>1</v>
      </c>
      <c r="B9" s="1">
        <v>44550</v>
      </c>
      <c r="C9" s="1">
        <v>44596</v>
      </c>
      <c r="D9">
        <v>3</v>
      </c>
      <c r="E9" t="s">
        <v>100</v>
      </c>
      <c r="F9">
        <v>8</v>
      </c>
      <c r="G9" t="s">
        <v>106</v>
      </c>
      <c r="H9" t="s">
        <v>106</v>
      </c>
      <c r="I9" t="s">
        <v>79</v>
      </c>
      <c r="J9" t="s">
        <v>107</v>
      </c>
      <c r="K9" t="s">
        <v>108</v>
      </c>
      <c r="L9">
        <v>1</v>
      </c>
      <c r="M9">
        <v>1</v>
      </c>
      <c r="N9">
        <v>0</v>
      </c>
      <c r="O9">
        <v>0</v>
      </c>
      <c r="P9">
        <v>0</v>
      </c>
      <c r="Q9" t="s">
        <v>75</v>
      </c>
      <c r="R9">
        <v>2019</v>
      </c>
      <c r="S9" t="s">
        <v>109</v>
      </c>
      <c r="T9" t="s">
        <v>99</v>
      </c>
      <c r="U9">
        <v>100</v>
      </c>
      <c r="Y9">
        <v>75</v>
      </c>
      <c r="Z9">
        <v>4</v>
      </c>
      <c r="AA9">
        <v>1875</v>
      </c>
      <c r="AB9">
        <v>1</v>
      </c>
      <c r="AC9">
        <v>1</v>
      </c>
      <c r="AD9">
        <v>75</v>
      </c>
      <c r="AE9">
        <v>6</v>
      </c>
      <c r="AH9">
        <v>1250</v>
      </c>
      <c r="AI9">
        <v>1</v>
      </c>
      <c r="AX9">
        <v>75</v>
      </c>
      <c r="AY9">
        <v>6</v>
      </c>
    </row>
    <row r="10" spans="1:65" x14ac:dyDescent="0.3">
      <c r="A10">
        <v>1</v>
      </c>
      <c r="B10" s="1">
        <v>44550</v>
      </c>
      <c r="C10" s="1">
        <v>44596</v>
      </c>
      <c r="D10">
        <v>3</v>
      </c>
      <c r="E10" t="s">
        <v>100</v>
      </c>
      <c r="F10">
        <v>9</v>
      </c>
      <c r="G10" t="s">
        <v>110</v>
      </c>
      <c r="H10" t="s">
        <v>110</v>
      </c>
      <c r="I10" t="s">
        <v>66</v>
      </c>
      <c r="J10" t="s">
        <v>111</v>
      </c>
      <c r="K10" t="s">
        <v>112</v>
      </c>
      <c r="L10">
        <v>2</v>
      </c>
      <c r="M10">
        <v>2</v>
      </c>
      <c r="N10">
        <v>0</v>
      </c>
      <c r="O10">
        <v>0</v>
      </c>
      <c r="P10">
        <v>0</v>
      </c>
      <c r="Q10" t="s">
        <v>69</v>
      </c>
      <c r="R10">
        <v>2019</v>
      </c>
      <c r="S10" t="s">
        <v>86</v>
      </c>
      <c r="T10" t="s">
        <v>87</v>
      </c>
      <c r="V10">
        <v>20</v>
      </c>
      <c r="Y10">
        <v>50</v>
      </c>
      <c r="Z10">
        <v>2</v>
      </c>
      <c r="AA10">
        <v>2500</v>
      </c>
      <c r="AB10">
        <v>1</v>
      </c>
      <c r="AC10">
        <v>1</v>
      </c>
      <c r="AD10">
        <v>20</v>
      </c>
      <c r="AE10">
        <v>15</v>
      </c>
      <c r="AF10">
        <v>30</v>
      </c>
      <c r="AH10">
        <v>133</v>
      </c>
      <c r="AI10">
        <v>1</v>
      </c>
      <c r="AU10">
        <v>20</v>
      </c>
      <c r="AV10">
        <v>15</v>
      </c>
      <c r="AW10">
        <v>30</v>
      </c>
    </row>
    <row r="11" spans="1:65" x14ac:dyDescent="0.3">
      <c r="A11">
        <v>1</v>
      </c>
      <c r="B11" s="1">
        <v>44550</v>
      </c>
      <c r="C11" s="1">
        <v>44596</v>
      </c>
      <c r="D11">
        <v>4</v>
      </c>
      <c r="E11" t="s">
        <v>113</v>
      </c>
      <c r="F11">
        <v>10</v>
      </c>
      <c r="G11" t="s">
        <v>1146</v>
      </c>
      <c r="H11" t="s">
        <v>114</v>
      </c>
      <c r="I11" t="s">
        <v>79</v>
      </c>
      <c r="J11" t="s">
        <v>115</v>
      </c>
      <c r="K11" t="s">
        <v>116</v>
      </c>
      <c r="L11">
        <v>2</v>
      </c>
      <c r="M11">
        <v>1</v>
      </c>
      <c r="N11">
        <v>1</v>
      </c>
      <c r="O11">
        <v>0</v>
      </c>
      <c r="P11">
        <v>1</v>
      </c>
      <c r="Q11" t="s">
        <v>69</v>
      </c>
      <c r="R11">
        <v>2021</v>
      </c>
      <c r="S11" t="s">
        <v>70</v>
      </c>
      <c r="T11" t="s">
        <v>70</v>
      </c>
      <c r="V11">
        <v>4</v>
      </c>
      <c r="W11">
        <v>75</v>
      </c>
      <c r="Y11">
        <v>50</v>
      </c>
      <c r="Z11">
        <v>7.5</v>
      </c>
      <c r="AA11">
        <v>667</v>
      </c>
      <c r="AB11">
        <v>1</v>
      </c>
      <c r="AC11">
        <v>1</v>
      </c>
      <c r="AD11">
        <v>50</v>
      </c>
      <c r="AE11">
        <v>25</v>
      </c>
      <c r="AH11">
        <v>200</v>
      </c>
      <c r="AI11">
        <v>2</v>
      </c>
      <c r="AR11">
        <v>25</v>
      </c>
      <c r="AS11">
        <v>12.5</v>
      </c>
      <c r="AU11">
        <v>25</v>
      </c>
      <c r="AV11">
        <v>12.5</v>
      </c>
    </row>
    <row r="12" spans="1:65" x14ac:dyDescent="0.3">
      <c r="A12">
        <v>1</v>
      </c>
      <c r="B12" s="1">
        <v>44550</v>
      </c>
      <c r="C12" s="1">
        <v>44596</v>
      </c>
      <c r="D12">
        <v>4</v>
      </c>
      <c r="E12" t="s">
        <v>113</v>
      </c>
      <c r="F12">
        <v>11</v>
      </c>
      <c r="G12" t="s">
        <v>1147</v>
      </c>
      <c r="H12" t="s">
        <v>117</v>
      </c>
      <c r="I12" t="s">
        <v>66</v>
      </c>
      <c r="J12" t="s">
        <v>118</v>
      </c>
      <c r="K12" t="s">
        <v>119</v>
      </c>
      <c r="L12">
        <v>2</v>
      </c>
      <c r="M12">
        <v>0</v>
      </c>
      <c r="N12">
        <v>2</v>
      </c>
      <c r="O12">
        <v>0</v>
      </c>
      <c r="P12">
        <v>0</v>
      </c>
      <c r="Q12" t="s">
        <v>120</v>
      </c>
      <c r="R12">
        <v>2021</v>
      </c>
      <c r="S12" t="s">
        <v>121</v>
      </c>
      <c r="T12" t="s">
        <v>122</v>
      </c>
      <c r="V12">
        <v>5</v>
      </c>
      <c r="W12">
        <v>18</v>
      </c>
      <c r="Y12">
        <v>50</v>
      </c>
      <c r="Z12">
        <v>10</v>
      </c>
      <c r="AA12">
        <v>500</v>
      </c>
      <c r="AB12">
        <v>1</v>
      </c>
      <c r="AC12">
        <v>1</v>
      </c>
      <c r="AD12">
        <v>56.6</v>
      </c>
      <c r="AE12">
        <v>5.62</v>
      </c>
      <c r="AH12">
        <v>1007</v>
      </c>
      <c r="AI12">
        <v>2</v>
      </c>
      <c r="AO12">
        <v>28.3</v>
      </c>
      <c r="AP12">
        <v>2.81</v>
      </c>
      <c r="AU12">
        <v>28.3</v>
      </c>
      <c r="AV12">
        <v>2.81</v>
      </c>
    </row>
    <row r="13" spans="1:65" x14ac:dyDescent="0.3">
      <c r="A13">
        <v>1</v>
      </c>
      <c r="B13" s="1">
        <v>44550</v>
      </c>
      <c r="C13" s="1">
        <v>44596</v>
      </c>
      <c r="D13">
        <v>4</v>
      </c>
      <c r="E13" t="s">
        <v>113</v>
      </c>
      <c r="F13">
        <v>12</v>
      </c>
      <c r="G13" t="s">
        <v>123</v>
      </c>
      <c r="H13" t="s">
        <v>123</v>
      </c>
      <c r="I13" t="s">
        <v>79</v>
      </c>
      <c r="J13" t="s">
        <v>124</v>
      </c>
      <c r="K13" t="s">
        <v>125</v>
      </c>
      <c r="L13">
        <v>1</v>
      </c>
      <c r="M13">
        <v>1</v>
      </c>
      <c r="N13">
        <v>0</v>
      </c>
      <c r="O13">
        <v>0</v>
      </c>
      <c r="P13">
        <v>0</v>
      </c>
      <c r="Q13" t="s">
        <v>75</v>
      </c>
      <c r="R13">
        <v>2020</v>
      </c>
      <c r="S13" t="s">
        <v>76</v>
      </c>
      <c r="T13" t="s">
        <v>77</v>
      </c>
      <c r="V13">
        <v>15</v>
      </c>
      <c r="W13">
        <v>70</v>
      </c>
      <c r="Y13">
        <v>75</v>
      </c>
      <c r="Z13">
        <v>4</v>
      </c>
      <c r="AA13">
        <v>1875</v>
      </c>
      <c r="AB13">
        <v>1</v>
      </c>
      <c r="AC13">
        <v>1</v>
      </c>
      <c r="AD13">
        <v>75</v>
      </c>
      <c r="AE13">
        <v>7.5</v>
      </c>
      <c r="AH13">
        <v>1000</v>
      </c>
      <c r="AI13">
        <v>2</v>
      </c>
      <c r="AO13">
        <v>37.5</v>
      </c>
      <c r="AP13">
        <v>3.75</v>
      </c>
      <c r="AX13">
        <v>37.5</v>
      </c>
      <c r="AY13">
        <v>3.75</v>
      </c>
    </row>
    <row r="14" spans="1:65" x14ac:dyDescent="0.3">
      <c r="A14">
        <v>1</v>
      </c>
      <c r="B14" s="1">
        <v>44550</v>
      </c>
      <c r="C14" s="1">
        <v>44596</v>
      </c>
      <c r="D14">
        <v>5</v>
      </c>
      <c r="E14" t="s">
        <v>126</v>
      </c>
      <c r="F14">
        <v>13</v>
      </c>
      <c r="G14" t="s">
        <v>1148</v>
      </c>
      <c r="H14" t="s">
        <v>127</v>
      </c>
      <c r="I14" t="s">
        <v>72</v>
      </c>
      <c r="J14" t="s">
        <v>128</v>
      </c>
      <c r="K14" t="s">
        <v>129</v>
      </c>
      <c r="L14">
        <v>3</v>
      </c>
      <c r="M14">
        <v>3</v>
      </c>
      <c r="N14">
        <v>0</v>
      </c>
      <c r="O14">
        <v>0</v>
      </c>
      <c r="P14">
        <v>0</v>
      </c>
      <c r="Q14" t="s">
        <v>75</v>
      </c>
      <c r="R14" t="s">
        <v>1309</v>
      </c>
      <c r="S14" t="s">
        <v>130</v>
      </c>
      <c r="T14" t="s">
        <v>99</v>
      </c>
      <c r="V14">
        <v>0.01</v>
      </c>
      <c r="Y14">
        <v>100</v>
      </c>
      <c r="Z14">
        <v>1</v>
      </c>
      <c r="AA14">
        <v>10000</v>
      </c>
      <c r="AB14">
        <v>1</v>
      </c>
      <c r="AC14">
        <v>1</v>
      </c>
      <c r="AD14">
        <v>100</v>
      </c>
      <c r="AE14">
        <v>1.5</v>
      </c>
      <c r="AH14">
        <v>6667</v>
      </c>
      <c r="AI14">
        <v>2</v>
      </c>
      <c r="AR14">
        <v>50</v>
      </c>
      <c r="AS14">
        <v>0.75</v>
      </c>
      <c r="AX14">
        <v>50</v>
      </c>
      <c r="AY14">
        <v>0.75</v>
      </c>
    </row>
    <row r="15" spans="1:65" x14ac:dyDescent="0.3">
      <c r="A15">
        <v>1</v>
      </c>
      <c r="B15" s="1">
        <v>44550</v>
      </c>
      <c r="C15" s="1">
        <v>44596</v>
      </c>
      <c r="D15">
        <v>5</v>
      </c>
      <c r="E15" t="s">
        <v>126</v>
      </c>
      <c r="F15">
        <v>14</v>
      </c>
      <c r="G15" t="s">
        <v>1149</v>
      </c>
      <c r="H15" t="s">
        <v>131</v>
      </c>
      <c r="I15" t="s">
        <v>66</v>
      </c>
      <c r="J15" t="s">
        <v>132</v>
      </c>
      <c r="K15" t="s">
        <v>133</v>
      </c>
      <c r="L15">
        <v>2</v>
      </c>
      <c r="M15">
        <v>2</v>
      </c>
      <c r="N15">
        <v>0</v>
      </c>
      <c r="O15">
        <v>0</v>
      </c>
      <c r="P15">
        <v>0</v>
      </c>
      <c r="Q15" t="s">
        <v>69</v>
      </c>
      <c r="R15">
        <v>2013</v>
      </c>
      <c r="S15" t="s">
        <v>134</v>
      </c>
      <c r="T15" t="s">
        <v>99</v>
      </c>
      <c r="V15">
        <v>5.5</v>
      </c>
      <c r="Y15">
        <v>50</v>
      </c>
      <c r="Z15">
        <v>5</v>
      </c>
      <c r="AA15">
        <v>1000</v>
      </c>
      <c r="AB15">
        <v>0</v>
      </c>
    </row>
    <row r="16" spans="1:65" x14ac:dyDescent="0.3">
      <c r="A16">
        <v>1</v>
      </c>
      <c r="B16" s="1">
        <v>44550</v>
      </c>
      <c r="C16" s="1">
        <v>44596</v>
      </c>
      <c r="D16">
        <v>5</v>
      </c>
      <c r="E16" t="s">
        <v>126</v>
      </c>
      <c r="F16">
        <v>15</v>
      </c>
      <c r="G16" t="s">
        <v>1150</v>
      </c>
      <c r="H16" t="s">
        <v>135</v>
      </c>
      <c r="I16" t="s">
        <v>79</v>
      </c>
      <c r="J16" t="s">
        <v>136</v>
      </c>
      <c r="K16" t="s">
        <v>137</v>
      </c>
      <c r="L16">
        <v>2</v>
      </c>
      <c r="M16">
        <v>1</v>
      </c>
      <c r="N16">
        <v>1</v>
      </c>
      <c r="O16">
        <v>0</v>
      </c>
      <c r="P16">
        <v>1</v>
      </c>
      <c r="Q16" t="s">
        <v>69</v>
      </c>
      <c r="R16">
        <v>2019</v>
      </c>
      <c r="S16" t="s">
        <v>138</v>
      </c>
      <c r="T16" t="s">
        <v>99</v>
      </c>
      <c r="U16">
        <v>50</v>
      </c>
      <c r="Y16">
        <v>20</v>
      </c>
      <c r="Z16">
        <v>10</v>
      </c>
      <c r="AA16">
        <v>200</v>
      </c>
      <c r="AB16">
        <v>0</v>
      </c>
    </row>
    <row r="17" spans="1:54" x14ac:dyDescent="0.3">
      <c r="A17">
        <v>1</v>
      </c>
      <c r="B17" s="1">
        <v>44550</v>
      </c>
      <c r="C17" s="1">
        <v>44596</v>
      </c>
      <c r="D17">
        <v>6</v>
      </c>
      <c r="E17" t="s">
        <v>139</v>
      </c>
      <c r="F17">
        <v>16</v>
      </c>
      <c r="G17" t="s">
        <v>1151</v>
      </c>
      <c r="H17" t="s">
        <v>140</v>
      </c>
      <c r="I17" t="s">
        <v>66</v>
      </c>
      <c r="J17" t="s">
        <v>141</v>
      </c>
      <c r="K17" t="s">
        <v>142</v>
      </c>
      <c r="L17">
        <v>2</v>
      </c>
      <c r="M17">
        <v>1</v>
      </c>
      <c r="N17">
        <v>1</v>
      </c>
      <c r="O17">
        <v>0</v>
      </c>
      <c r="P17">
        <v>1</v>
      </c>
      <c r="Q17" t="s">
        <v>69</v>
      </c>
      <c r="R17" t="s">
        <v>1309</v>
      </c>
      <c r="S17" t="s">
        <v>143</v>
      </c>
      <c r="T17" t="s">
        <v>144</v>
      </c>
      <c r="V17">
        <v>6</v>
      </c>
      <c r="Y17">
        <v>45</v>
      </c>
      <c r="Z17">
        <v>5</v>
      </c>
      <c r="AA17">
        <v>900</v>
      </c>
      <c r="AB17">
        <v>1</v>
      </c>
      <c r="AC17">
        <v>1</v>
      </c>
      <c r="AD17">
        <v>100</v>
      </c>
      <c r="AE17">
        <v>15</v>
      </c>
      <c r="AH17">
        <v>667</v>
      </c>
      <c r="AI17">
        <v>5</v>
      </c>
      <c r="AL17">
        <v>20</v>
      </c>
      <c r="AM17">
        <v>3</v>
      </c>
      <c r="AO17">
        <v>20</v>
      </c>
      <c r="AP17">
        <v>3</v>
      </c>
      <c r="AR17">
        <v>20</v>
      </c>
      <c r="AS17">
        <v>3</v>
      </c>
      <c r="AU17">
        <v>20</v>
      </c>
      <c r="AV17">
        <v>3</v>
      </c>
      <c r="AX17">
        <v>20</v>
      </c>
      <c r="AY17">
        <v>3</v>
      </c>
    </row>
    <row r="18" spans="1:54" x14ac:dyDescent="0.3">
      <c r="A18">
        <v>1</v>
      </c>
      <c r="B18" s="1">
        <v>44550</v>
      </c>
      <c r="C18" s="1">
        <v>44596</v>
      </c>
      <c r="D18">
        <v>6</v>
      </c>
      <c r="E18" t="s">
        <v>139</v>
      </c>
      <c r="F18">
        <v>17</v>
      </c>
      <c r="G18" t="s">
        <v>145</v>
      </c>
      <c r="H18" t="s">
        <v>145</v>
      </c>
      <c r="I18" t="s">
        <v>89</v>
      </c>
      <c r="J18" t="s">
        <v>146</v>
      </c>
      <c r="K18" t="s">
        <v>147</v>
      </c>
      <c r="L18">
        <v>2</v>
      </c>
      <c r="M18">
        <v>1</v>
      </c>
      <c r="N18">
        <v>1</v>
      </c>
      <c r="O18">
        <v>0</v>
      </c>
      <c r="P18">
        <v>1</v>
      </c>
      <c r="Q18" t="s">
        <v>69</v>
      </c>
      <c r="R18" t="s">
        <v>1309</v>
      </c>
      <c r="S18" t="s">
        <v>76</v>
      </c>
      <c r="T18" t="s">
        <v>77</v>
      </c>
      <c r="U18">
        <v>115</v>
      </c>
      <c r="Y18">
        <v>50</v>
      </c>
      <c r="Z18">
        <v>10</v>
      </c>
      <c r="AA18">
        <v>500</v>
      </c>
      <c r="AB18">
        <v>1</v>
      </c>
      <c r="AC18">
        <v>1</v>
      </c>
      <c r="AD18">
        <v>50</v>
      </c>
      <c r="AE18">
        <v>20</v>
      </c>
      <c r="AH18">
        <v>250</v>
      </c>
      <c r="AI18">
        <v>1</v>
      </c>
      <c r="AO18">
        <v>50</v>
      </c>
      <c r="AP18">
        <v>20</v>
      </c>
    </row>
    <row r="19" spans="1:54" x14ac:dyDescent="0.3">
      <c r="A19">
        <v>1</v>
      </c>
      <c r="B19" s="1">
        <v>44550</v>
      </c>
      <c r="C19" s="1">
        <v>44596</v>
      </c>
      <c r="D19">
        <v>6</v>
      </c>
      <c r="E19" t="s">
        <v>139</v>
      </c>
      <c r="F19">
        <v>18</v>
      </c>
      <c r="G19" t="s">
        <v>148</v>
      </c>
      <c r="H19" t="s">
        <v>148</v>
      </c>
      <c r="I19" t="s">
        <v>79</v>
      </c>
      <c r="J19" t="s">
        <v>149</v>
      </c>
      <c r="K19" t="s">
        <v>150</v>
      </c>
      <c r="L19">
        <v>1</v>
      </c>
      <c r="M19">
        <v>0</v>
      </c>
      <c r="N19">
        <v>1</v>
      </c>
      <c r="O19">
        <v>0</v>
      </c>
      <c r="P19">
        <v>0</v>
      </c>
      <c r="Q19" t="s">
        <v>69</v>
      </c>
      <c r="R19">
        <v>2019</v>
      </c>
      <c r="S19" t="s">
        <v>143</v>
      </c>
      <c r="T19" t="s">
        <v>144</v>
      </c>
      <c r="U19">
        <v>107</v>
      </c>
      <c r="Y19">
        <v>100</v>
      </c>
      <c r="Z19">
        <v>1</v>
      </c>
      <c r="AA19">
        <v>10000</v>
      </c>
      <c r="AB19">
        <v>0</v>
      </c>
    </row>
    <row r="20" spans="1:54" x14ac:dyDescent="0.3">
      <c r="A20">
        <v>1</v>
      </c>
      <c r="B20" s="1">
        <v>44550</v>
      </c>
      <c r="C20" s="1">
        <v>44596</v>
      </c>
      <c r="D20">
        <v>7</v>
      </c>
      <c r="E20" t="s">
        <v>151</v>
      </c>
      <c r="F20">
        <v>19</v>
      </c>
      <c r="G20" t="s">
        <v>1152</v>
      </c>
      <c r="H20" t="s">
        <v>152</v>
      </c>
      <c r="I20" t="s">
        <v>89</v>
      </c>
      <c r="J20" t="s">
        <v>153</v>
      </c>
      <c r="K20" t="s">
        <v>154</v>
      </c>
      <c r="L20">
        <v>2</v>
      </c>
      <c r="M20">
        <v>1</v>
      </c>
      <c r="N20">
        <v>1</v>
      </c>
      <c r="O20">
        <v>0</v>
      </c>
      <c r="P20">
        <v>1</v>
      </c>
      <c r="Q20" t="s">
        <v>69</v>
      </c>
      <c r="R20">
        <v>2020</v>
      </c>
      <c r="S20" t="s">
        <v>155</v>
      </c>
      <c r="T20" t="s">
        <v>156</v>
      </c>
      <c r="U20">
        <v>1300</v>
      </c>
      <c r="Y20">
        <v>100</v>
      </c>
      <c r="Z20">
        <v>2</v>
      </c>
      <c r="AA20">
        <v>5000</v>
      </c>
      <c r="AB20">
        <v>1</v>
      </c>
      <c r="AC20">
        <v>1</v>
      </c>
      <c r="AD20">
        <v>100</v>
      </c>
      <c r="AE20">
        <v>4</v>
      </c>
      <c r="AH20">
        <v>2500</v>
      </c>
      <c r="AI20">
        <v>2</v>
      </c>
      <c r="AL20">
        <v>50</v>
      </c>
      <c r="AM20">
        <v>2</v>
      </c>
      <c r="AX20">
        <v>50</v>
      </c>
      <c r="AY20">
        <v>2</v>
      </c>
    </row>
    <row r="21" spans="1:54" x14ac:dyDescent="0.3">
      <c r="A21">
        <v>1</v>
      </c>
      <c r="B21" s="1">
        <v>44550</v>
      </c>
      <c r="C21" s="1">
        <v>44596</v>
      </c>
      <c r="D21">
        <v>7</v>
      </c>
      <c r="E21" t="s">
        <v>151</v>
      </c>
      <c r="F21">
        <v>20</v>
      </c>
      <c r="G21" t="s">
        <v>157</v>
      </c>
      <c r="H21" t="s">
        <v>157</v>
      </c>
      <c r="I21" t="s">
        <v>89</v>
      </c>
      <c r="J21" t="s">
        <v>158</v>
      </c>
      <c r="K21" t="s">
        <v>159</v>
      </c>
      <c r="L21">
        <v>1</v>
      </c>
      <c r="M21">
        <v>1</v>
      </c>
      <c r="N21">
        <v>0</v>
      </c>
      <c r="O21">
        <v>0</v>
      </c>
      <c r="P21">
        <v>0</v>
      </c>
      <c r="Q21" t="s">
        <v>69</v>
      </c>
      <c r="R21">
        <v>2018</v>
      </c>
      <c r="S21" t="s">
        <v>76</v>
      </c>
      <c r="T21" t="s">
        <v>77</v>
      </c>
      <c r="V21">
        <v>1</v>
      </c>
      <c r="Y21">
        <v>75</v>
      </c>
      <c r="Z21">
        <v>1</v>
      </c>
      <c r="AA21">
        <v>7500</v>
      </c>
      <c r="AB21">
        <v>1</v>
      </c>
      <c r="AC21">
        <v>0</v>
      </c>
    </row>
    <row r="22" spans="1:54" x14ac:dyDescent="0.3">
      <c r="A22">
        <v>1</v>
      </c>
      <c r="B22" s="1">
        <v>44550</v>
      </c>
      <c r="C22" s="1">
        <v>44596</v>
      </c>
      <c r="D22">
        <v>7</v>
      </c>
      <c r="E22" t="s">
        <v>151</v>
      </c>
      <c r="F22">
        <v>21</v>
      </c>
      <c r="G22" t="s">
        <v>160</v>
      </c>
      <c r="H22" t="s">
        <v>160</v>
      </c>
      <c r="I22" t="s">
        <v>89</v>
      </c>
      <c r="J22" t="s">
        <v>161</v>
      </c>
      <c r="L22">
        <v>2</v>
      </c>
      <c r="M22">
        <v>1</v>
      </c>
      <c r="N22">
        <v>1</v>
      </c>
      <c r="O22">
        <v>0</v>
      </c>
      <c r="Q22" t="s">
        <v>75</v>
      </c>
      <c r="R22" t="s">
        <v>1309</v>
      </c>
      <c r="S22" t="s">
        <v>155</v>
      </c>
      <c r="T22" t="s">
        <v>156</v>
      </c>
      <c r="Y22">
        <v>5</v>
      </c>
      <c r="Z22">
        <v>10</v>
      </c>
      <c r="AA22">
        <v>50</v>
      </c>
      <c r="AB22">
        <v>1</v>
      </c>
      <c r="AC22">
        <v>1</v>
      </c>
      <c r="AD22">
        <v>5</v>
      </c>
      <c r="AE22">
        <v>10</v>
      </c>
      <c r="AH22">
        <v>50</v>
      </c>
      <c r="AI22">
        <v>2</v>
      </c>
      <c r="AR22">
        <v>2.5</v>
      </c>
      <c r="AS22">
        <v>5</v>
      </c>
      <c r="AX22">
        <v>2.5</v>
      </c>
      <c r="AY22">
        <v>5</v>
      </c>
    </row>
    <row r="23" spans="1:54" x14ac:dyDescent="0.3">
      <c r="A23">
        <v>1</v>
      </c>
      <c r="B23" s="1">
        <v>44550</v>
      </c>
      <c r="C23" s="1">
        <v>44596</v>
      </c>
      <c r="D23">
        <v>7</v>
      </c>
      <c r="E23" t="s">
        <v>151</v>
      </c>
      <c r="F23">
        <v>22</v>
      </c>
      <c r="G23" t="s">
        <v>1153</v>
      </c>
      <c r="H23" t="s">
        <v>162</v>
      </c>
      <c r="I23" t="s">
        <v>66</v>
      </c>
      <c r="J23" t="s">
        <v>163</v>
      </c>
      <c r="K23" t="s">
        <v>164</v>
      </c>
      <c r="L23">
        <v>3</v>
      </c>
      <c r="M23">
        <v>1</v>
      </c>
      <c r="N23">
        <v>2</v>
      </c>
      <c r="O23">
        <v>0</v>
      </c>
      <c r="P23">
        <v>0</v>
      </c>
      <c r="Q23" t="s">
        <v>69</v>
      </c>
      <c r="R23" t="s">
        <v>1309</v>
      </c>
      <c r="S23" t="s">
        <v>165</v>
      </c>
      <c r="T23" t="s">
        <v>99</v>
      </c>
      <c r="V23">
        <v>6</v>
      </c>
      <c r="Y23">
        <v>50</v>
      </c>
      <c r="Z23">
        <v>7.5</v>
      </c>
      <c r="AA23">
        <v>667</v>
      </c>
      <c r="AB23">
        <v>1</v>
      </c>
      <c r="AC23">
        <v>0</v>
      </c>
    </row>
    <row r="24" spans="1:54" x14ac:dyDescent="0.3">
      <c r="A24">
        <v>1</v>
      </c>
      <c r="B24" s="1">
        <v>44550</v>
      </c>
      <c r="C24" s="1">
        <v>44596</v>
      </c>
      <c r="D24">
        <v>8</v>
      </c>
      <c r="E24" t="s">
        <v>166</v>
      </c>
      <c r="F24">
        <v>23</v>
      </c>
      <c r="G24" t="s">
        <v>1154</v>
      </c>
      <c r="H24" t="s">
        <v>167</v>
      </c>
      <c r="I24" t="s">
        <v>66</v>
      </c>
      <c r="J24" t="s">
        <v>168</v>
      </c>
      <c r="K24" t="s">
        <v>169</v>
      </c>
      <c r="L24">
        <v>1</v>
      </c>
      <c r="M24">
        <v>1</v>
      </c>
      <c r="N24">
        <v>0</v>
      </c>
      <c r="O24">
        <v>0</v>
      </c>
      <c r="P24">
        <v>0</v>
      </c>
      <c r="Q24" t="s">
        <v>69</v>
      </c>
      <c r="R24" t="s">
        <v>1309</v>
      </c>
      <c r="S24" t="s">
        <v>170</v>
      </c>
      <c r="T24" t="s">
        <v>171</v>
      </c>
      <c r="V24">
        <v>20.6</v>
      </c>
      <c r="W24">
        <v>51</v>
      </c>
      <c r="Y24">
        <v>50</v>
      </c>
      <c r="Z24">
        <v>2.5</v>
      </c>
      <c r="AA24">
        <v>2000</v>
      </c>
      <c r="AB24">
        <v>1</v>
      </c>
      <c r="AC24">
        <v>1</v>
      </c>
      <c r="AD24">
        <v>50</v>
      </c>
      <c r="AE24">
        <v>2.5</v>
      </c>
      <c r="AH24">
        <v>2000</v>
      </c>
      <c r="AI24">
        <v>2</v>
      </c>
      <c r="AL24">
        <v>25</v>
      </c>
      <c r="AM24">
        <v>1.25</v>
      </c>
      <c r="AX24">
        <v>25</v>
      </c>
      <c r="AY24">
        <v>1.25</v>
      </c>
    </row>
    <row r="25" spans="1:54" x14ac:dyDescent="0.3">
      <c r="A25">
        <v>1</v>
      </c>
      <c r="B25" s="1">
        <v>44550</v>
      </c>
      <c r="C25" s="1">
        <v>44596</v>
      </c>
      <c r="D25">
        <v>8</v>
      </c>
      <c r="E25" t="s">
        <v>166</v>
      </c>
      <c r="F25">
        <v>24</v>
      </c>
      <c r="G25" t="s">
        <v>1155</v>
      </c>
      <c r="H25" t="s">
        <v>172</v>
      </c>
      <c r="I25" t="s">
        <v>173</v>
      </c>
      <c r="J25" t="s">
        <v>174</v>
      </c>
      <c r="K25" t="s">
        <v>175</v>
      </c>
      <c r="L25">
        <v>2</v>
      </c>
      <c r="M25">
        <v>1</v>
      </c>
      <c r="N25">
        <v>1</v>
      </c>
      <c r="O25">
        <v>0</v>
      </c>
      <c r="P25">
        <v>0</v>
      </c>
      <c r="Q25" t="s">
        <v>75</v>
      </c>
      <c r="R25" t="s">
        <v>1309</v>
      </c>
      <c r="S25" t="s">
        <v>143</v>
      </c>
      <c r="T25" t="s">
        <v>144</v>
      </c>
      <c r="Y25">
        <v>56</v>
      </c>
      <c r="Z25">
        <v>7.5</v>
      </c>
      <c r="AA25">
        <v>747</v>
      </c>
      <c r="AB25">
        <v>1</v>
      </c>
      <c r="AC25">
        <v>1</v>
      </c>
      <c r="AD25">
        <v>56</v>
      </c>
      <c r="AE25">
        <v>33.33</v>
      </c>
      <c r="AH25">
        <v>168</v>
      </c>
      <c r="AI25">
        <v>2</v>
      </c>
      <c r="AR25">
        <v>28</v>
      </c>
      <c r="AS25">
        <v>16.66</v>
      </c>
      <c r="BA25">
        <v>28</v>
      </c>
      <c r="BB25">
        <v>16.66</v>
      </c>
    </row>
    <row r="26" spans="1:54" x14ac:dyDescent="0.3">
      <c r="A26">
        <v>1</v>
      </c>
      <c r="B26" s="1">
        <v>44550</v>
      </c>
      <c r="C26" s="1">
        <v>44596</v>
      </c>
      <c r="D26">
        <v>8</v>
      </c>
      <c r="E26" t="s">
        <v>166</v>
      </c>
      <c r="F26">
        <v>25</v>
      </c>
      <c r="G26" t="s">
        <v>1156</v>
      </c>
      <c r="H26" t="s">
        <v>176</v>
      </c>
      <c r="I26" t="s">
        <v>72</v>
      </c>
      <c r="J26" t="s">
        <v>177</v>
      </c>
      <c r="K26" t="s">
        <v>178</v>
      </c>
      <c r="L26">
        <v>4</v>
      </c>
      <c r="M26">
        <v>4</v>
      </c>
      <c r="N26">
        <v>0</v>
      </c>
      <c r="O26">
        <v>0</v>
      </c>
      <c r="P26">
        <v>0</v>
      </c>
      <c r="Q26" t="s">
        <v>69</v>
      </c>
      <c r="R26" t="s">
        <v>1309</v>
      </c>
      <c r="S26" t="s">
        <v>179</v>
      </c>
      <c r="T26" t="s">
        <v>77</v>
      </c>
      <c r="U26">
        <v>0</v>
      </c>
      <c r="Y26">
        <v>30</v>
      </c>
      <c r="Z26">
        <v>3</v>
      </c>
      <c r="AA26">
        <v>1000</v>
      </c>
      <c r="AB26">
        <v>1</v>
      </c>
      <c r="AC26">
        <v>1</v>
      </c>
      <c r="AD26">
        <v>30</v>
      </c>
      <c r="AE26">
        <v>6</v>
      </c>
      <c r="AH26">
        <v>500</v>
      </c>
      <c r="AI26">
        <v>1</v>
      </c>
      <c r="AL26">
        <v>30</v>
      </c>
      <c r="AM26">
        <v>6</v>
      </c>
    </row>
    <row r="27" spans="1:54" x14ac:dyDescent="0.3">
      <c r="A27">
        <v>1</v>
      </c>
      <c r="B27" s="1">
        <v>44550</v>
      </c>
      <c r="C27" s="1">
        <v>44596</v>
      </c>
      <c r="D27">
        <v>9</v>
      </c>
      <c r="E27" t="s">
        <v>180</v>
      </c>
      <c r="F27">
        <v>26</v>
      </c>
      <c r="G27" t="s">
        <v>181</v>
      </c>
      <c r="H27" t="s">
        <v>181</v>
      </c>
      <c r="I27" t="s">
        <v>182</v>
      </c>
      <c r="J27" t="s">
        <v>183</v>
      </c>
      <c r="K27" t="s">
        <v>184</v>
      </c>
      <c r="L27">
        <v>4</v>
      </c>
      <c r="M27">
        <v>4</v>
      </c>
      <c r="N27">
        <v>0</v>
      </c>
      <c r="O27">
        <v>0</v>
      </c>
      <c r="P27">
        <v>0</v>
      </c>
      <c r="Q27" t="s">
        <v>75</v>
      </c>
      <c r="R27">
        <v>2019</v>
      </c>
      <c r="S27" t="s">
        <v>185</v>
      </c>
      <c r="T27" t="s">
        <v>186</v>
      </c>
      <c r="Y27">
        <v>50</v>
      </c>
      <c r="Z27">
        <v>5</v>
      </c>
      <c r="AA27">
        <v>1000</v>
      </c>
      <c r="AB27">
        <v>1</v>
      </c>
      <c r="AC27">
        <v>1</v>
      </c>
      <c r="AD27">
        <v>50</v>
      </c>
      <c r="AE27">
        <v>7</v>
      </c>
      <c r="AH27">
        <v>714</v>
      </c>
      <c r="AI27">
        <v>2</v>
      </c>
      <c r="AO27">
        <v>25</v>
      </c>
      <c r="AP27">
        <v>3.5</v>
      </c>
      <c r="AX27">
        <v>25</v>
      </c>
      <c r="AY27">
        <v>3.5</v>
      </c>
    </row>
    <row r="28" spans="1:54" x14ac:dyDescent="0.3">
      <c r="A28">
        <v>1</v>
      </c>
      <c r="B28" s="1">
        <v>44550</v>
      </c>
      <c r="C28" s="1">
        <v>44596</v>
      </c>
      <c r="D28">
        <v>9</v>
      </c>
      <c r="E28" t="s">
        <v>180</v>
      </c>
      <c r="F28">
        <v>27</v>
      </c>
      <c r="G28" t="s">
        <v>187</v>
      </c>
      <c r="H28" t="s">
        <v>187</v>
      </c>
      <c r="I28" t="s">
        <v>182</v>
      </c>
      <c r="J28" t="s">
        <v>188</v>
      </c>
      <c r="K28" t="s">
        <v>189</v>
      </c>
      <c r="L28">
        <v>2</v>
      </c>
      <c r="M28">
        <v>1</v>
      </c>
      <c r="N28">
        <v>1</v>
      </c>
      <c r="O28">
        <v>0</v>
      </c>
      <c r="P28">
        <v>1</v>
      </c>
      <c r="Q28" t="s">
        <v>75</v>
      </c>
      <c r="R28">
        <v>2020</v>
      </c>
      <c r="S28" t="s">
        <v>190</v>
      </c>
      <c r="T28" t="s">
        <v>191</v>
      </c>
      <c r="U28">
        <v>300</v>
      </c>
      <c r="V28">
        <v>25</v>
      </c>
      <c r="W28">
        <v>50</v>
      </c>
      <c r="Y28">
        <v>50</v>
      </c>
      <c r="Z28">
        <v>2.5</v>
      </c>
      <c r="AA28">
        <v>2000</v>
      </c>
      <c r="AB28">
        <v>1</v>
      </c>
      <c r="AC28">
        <v>1</v>
      </c>
      <c r="AD28">
        <v>50</v>
      </c>
      <c r="AE28">
        <v>10</v>
      </c>
      <c r="AH28">
        <v>500</v>
      </c>
      <c r="AI28">
        <v>2</v>
      </c>
      <c r="AX28">
        <v>25</v>
      </c>
      <c r="AY28">
        <v>5</v>
      </c>
      <c r="BA28">
        <v>25</v>
      </c>
      <c r="BB28">
        <v>5</v>
      </c>
    </row>
    <row r="29" spans="1:54" x14ac:dyDescent="0.3">
      <c r="A29">
        <v>1</v>
      </c>
      <c r="B29" s="1">
        <v>44550</v>
      </c>
      <c r="C29" s="1">
        <v>44596</v>
      </c>
      <c r="D29">
        <v>9</v>
      </c>
      <c r="E29" t="s">
        <v>180</v>
      </c>
      <c r="F29">
        <v>28</v>
      </c>
      <c r="G29" t="s">
        <v>1157</v>
      </c>
      <c r="H29" t="s">
        <v>192</v>
      </c>
      <c r="I29" t="s">
        <v>66</v>
      </c>
      <c r="J29" t="s">
        <v>193</v>
      </c>
      <c r="K29" t="s">
        <v>194</v>
      </c>
      <c r="L29">
        <v>2</v>
      </c>
      <c r="M29">
        <v>1</v>
      </c>
      <c r="N29">
        <v>1</v>
      </c>
      <c r="O29">
        <v>0</v>
      </c>
      <c r="P29">
        <v>1</v>
      </c>
      <c r="Q29" t="s">
        <v>69</v>
      </c>
      <c r="R29" t="s">
        <v>1309</v>
      </c>
      <c r="S29" t="s">
        <v>195</v>
      </c>
      <c r="T29" t="s">
        <v>196</v>
      </c>
      <c r="V29">
        <v>160</v>
      </c>
      <c r="W29">
        <v>3</v>
      </c>
      <c r="Y29">
        <v>100</v>
      </c>
      <c r="Z29">
        <v>5</v>
      </c>
      <c r="AA29">
        <v>2000</v>
      </c>
      <c r="AB29">
        <v>1</v>
      </c>
      <c r="AC29">
        <v>0</v>
      </c>
    </row>
    <row r="30" spans="1:54" x14ac:dyDescent="0.3">
      <c r="A30">
        <v>1</v>
      </c>
      <c r="B30" s="1">
        <v>44550</v>
      </c>
      <c r="C30" s="1">
        <v>44596</v>
      </c>
      <c r="D30">
        <v>10</v>
      </c>
      <c r="E30" t="s">
        <v>197</v>
      </c>
      <c r="F30">
        <v>29</v>
      </c>
      <c r="G30" t="s">
        <v>198</v>
      </c>
      <c r="H30" t="s">
        <v>198</v>
      </c>
      <c r="I30" t="s">
        <v>79</v>
      </c>
      <c r="J30" t="s">
        <v>199</v>
      </c>
      <c r="K30" t="s">
        <v>200</v>
      </c>
      <c r="L30">
        <v>2</v>
      </c>
      <c r="M30">
        <v>0</v>
      </c>
      <c r="N30">
        <v>2</v>
      </c>
      <c r="O30">
        <v>0</v>
      </c>
      <c r="P30">
        <v>0</v>
      </c>
      <c r="Q30" t="s">
        <v>75</v>
      </c>
      <c r="R30">
        <v>2021</v>
      </c>
      <c r="S30" t="s">
        <v>76</v>
      </c>
      <c r="T30" t="s">
        <v>77</v>
      </c>
      <c r="V30">
        <v>2E-3</v>
      </c>
      <c r="W30">
        <v>70</v>
      </c>
      <c r="Y30">
        <v>25</v>
      </c>
      <c r="Z30">
        <v>5</v>
      </c>
      <c r="AA30">
        <v>500</v>
      </c>
      <c r="AB30">
        <v>1</v>
      </c>
      <c r="AC30">
        <v>1</v>
      </c>
      <c r="AD30">
        <v>25</v>
      </c>
      <c r="AE30">
        <v>20</v>
      </c>
      <c r="AH30">
        <v>125</v>
      </c>
      <c r="AI30">
        <v>3</v>
      </c>
      <c r="AO30">
        <v>8.33</v>
      </c>
      <c r="AP30">
        <v>6.66</v>
      </c>
      <c r="AX30">
        <v>8.33</v>
      </c>
      <c r="AY30">
        <v>6.66</v>
      </c>
      <c r="BA30">
        <v>8.33</v>
      </c>
      <c r="BB30">
        <v>6.66</v>
      </c>
    </row>
    <row r="31" spans="1:54" x14ac:dyDescent="0.3">
      <c r="A31">
        <v>1</v>
      </c>
      <c r="B31" s="1">
        <v>44550</v>
      </c>
      <c r="C31" s="1">
        <v>44596</v>
      </c>
      <c r="D31">
        <v>10</v>
      </c>
      <c r="E31" t="s">
        <v>197</v>
      </c>
      <c r="F31">
        <v>30</v>
      </c>
      <c r="G31" t="s">
        <v>201</v>
      </c>
      <c r="H31" t="s">
        <v>201</v>
      </c>
      <c r="I31" t="s">
        <v>66</v>
      </c>
      <c r="J31" t="s">
        <v>202</v>
      </c>
      <c r="K31" t="s">
        <v>203</v>
      </c>
      <c r="L31">
        <v>3</v>
      </c>
      <c r="M31">
        <v>3</v>
      </c>
      <c r="N31">
        <v>0</v>
      </c>
      <c r="O31">
        <v>0</v>
      </c>
      <c r="P31">
        <v>0</v>
      </c>
      <c r="Q31" t="s">
        <v>69</v>
      </c>
      <c r="R31" t="s">
        <v>1309</v>
      </c>
      <c r="S31" t="s">
        <v>165</v>
      </c>
      <c r="T31" t="s">
        <v>99</v>
      </c>
      <c r="U31">
        <v>130</v>
      </c>
      <c r="V31">
        <v>2.8</v>
      </c>
      <c r="W31">
        <v>30</v>
      </c>
      <c r="Y31">
        <v>30</v>
      </c>
      <c r="Z31">
        <v>5</v>
      </c>
      <c r="AA31">
        <v>600</v>
      </c>
      <c r="AB31">
        <v>1</v>
      </c>
      <c r="AC31">
        <v>1</v>
      </c>
      <c r="AD31">
        <v>30</v>
      </c>
      <c r="AE31">
        <v>20</v>
      </c>
      <c r="AH31">
        <v>150</v>
      </c>
      <c r="AI31">
        <v>3</v>
      </c>
      <c r="AR31">
        <v>10</v>
      </c>
      <c r="AS31">
        <v>6.66</v>
      </c>
      <c r="AX31">
        <v>10</v>
      </c>
      <c r="AY31">
        <v>6.66</v>
      </c>
      <c r="BA31">
        <v>10</v>
      </c>
      <c r="BB31">
        <v>6.66</v>
      </c>
    </row>
    <row r="32" spans="1:54" x14ac:dyDescent="0.3">
      <c r="A32">
        <v>1</v>
      </c>
      <c r="B32" s="1">
        <v>44550</v>
      </c>
      <c r="C32" s="1">
        <v>44596</v>
      </c>
      <c r="D32">
        <v>10</v>
      </c>
      <c r="E32" t="s">
        <v>197</v>
      </c>
      <c r="F32">
        <v>31</v>
      </c>
      <c r="G32" t="s">
        <v>1158</v>
      </c>
      <c r="H32" t="s">
        <v>204</v>
      </c>
      <c r="I32" t="s">
        <v>89</v>
      </c>
      <c r="J32" t="s">
        <v>205</v>
      </c>
      <c r="K32" t="s">
        <v>206</v>
      </c>
      <c r="L32">
        <v>3</v>
      </c>
      <c r="M32">
        <v>2</v>
      </c>
      <c r="N32">
        <v>1</v>
      </c>
      <c r="O32">
        <v>0</v>
      </c>
      <c r="Q32" t="s">
        <v>75</v>
      </c>
      <c r="R32" t="s">
        <v>1309</v>
      </c>
      <c r="S32" t="s">
        <v>165</v>
      </c>
      <c r="T32" t="s">
        <v>99</v>
      </c>
      <c r="Y32">
        <v>30</v>
      </c>
      <c r="Z32">
        <v>2</v>
      </c>
      <c r="AA32">
        <v>1500</v>
      </c>
      <c r="AB32">
        <v>1</v>
      </c>
      <c r="AC32">
        <v>1</v>
      </c>
      <c r="AD32">
        <v>30</v>
      </c>
      <c r="AE32">
        <v>3</v>
      </c>
      <c r="AH32">
        <v>1000</v>
      </c>
      <c r="AI32">
        <v>3</v>
      </c>
      <c r="AL32">
        <v>10</v>
      </c>
      <c r="AM32">
        <v>1</v>
      </c>
      <c r="AX32">
        <v>10</v>
      </c>
      <c r="AY32">
        <v>1</v>
      </c>
      <c r="BA32">
        <v>10</v>
      </c>
      <c r="BB32">
        <v>1</v>
      </c>
    </row>
    <row r="33" spans="1:55" x14ac:dyDescent="0.3">
      <c r="A33">
        <v>1</v>
      </c>
      <c r="B33" s="1">
        <v>44550</v>
      </c>
      <c r="C33" s="1">
        <v>44596</v>
      </c>
      <c r="D33">
        <v>11</v>
      </c>
      <c r="E33" t="s">
        <v>207</v>
      </c>
      <c r="F33">
        <v>32</v>
      </c>
      <c r="G33" t="s">
        <v>208</v>
      </c>
      <c r="H33" t="s">
        <v>208</v>
      </c>
      <c r="I33" t="s">
        <v>66</v>
      </c>
      <c r="J33" t="s">
        <v>209</v>
      </c>
      <c r="K33" t="s">
        <v>210</v>
      </c>
      <c r="L33">
        <v>1</v>
      </c>
      <c r="M33">
        <v>1</v>
      </c>
      <c r="N33">
        <v>0</v>
      </c>
      <c r="O33">
        <v>0</v>
      </c>
      <c r="P33">
        <v>0</v>
      </c>
      <c r="Q33" t="s">
        <v>69</v>
      </c>
      <c r="R33">
        <v>2014</v>
      </c>
      <c r="S33" t="s">
        <v>70</v>
      </c>
      <c r="T33" t="s">
        <v>70</v>
      </c>
      <c r="U33">
        <v>80</v>
      </c>
      <c r="V33">
        <v>33</v>
      </c>
      <c r="Y33">
        <v>30000</v>
      </c>
      <c r="Z33">
        <v>25</v>
      </c>
      <c r="AA33">
        <v>120000</v>
      </c>
      <c r="AB33">
        <v>0</v>
      </c>
    </row>
    <row r="34" spans="1:55" x14ac:dyDescent="0.3">
      <c r="A34">
        <v>1</v>
      </c>
      <c r="B34" s="1">
        <v>44550</v>
      </c>
      <c r="C34" s="1">
        <v>44596</v>
      </c>
      <c r="D34">
        <v>11</v>
      </c>
      <c r="E34" t="s">
        <v>207</v>
      </c>
      <c r="F34">
        <v>33</v>
      </c>
      <c r="G34" t="s">
        <v>1159</v>
      </c>
      <c r="H34" t="s">
        <v>211</v>
      </c>
      <c r="I34" t="s">
        <v>182</v>
      </c>
      <c r="J34" t="s">
        <v>212</v>
      </c>
      <c r="K34" t="s">
        <v>213</v>
      </c>
      <c r="L34">
        <v>3</v>
      </c>
      <c r="M34">
        <v>3</v>
      </c>
      <c r="N34">
        <v>0</v>
      </c>
      <c r="O34">
        <v>0</v>
      </c>
      <c r="P34">
        <v>0</v>
      </c>
      <c r="Q34" t="s">
        <v>69</v>
      </c>
      <c r="R34">
        <v>2019</v>
      </c>
      <c r="S34" t="s">
        <v>70</v>
      </c>
      <c r="T34" t="s">
        <v>70</v>
      </c>
      <c r="V34">
        <v>6</v>
      </c>
      <c r="Y34">
        <v>50</v>
      </c>
      <c r="Z34">
        <v>5</v>
      </c>
      <c r="AA34">
        <v>1000</v>
      </c>
      <c r="AB34">
        <v>1</v>
      </c>
      <c r="AC34">
        <v>1</v>
      </c>
      <c r="AD34">
        <v>50</v>
      </c>
      <c r="AE34">
        <v>15</v>
      </c>
      <c r="AH34">
        <v>333</v>
      </c>
      <c r="AI34">
        <v>1</v>
      </c>
      <c r="AR34">
        <v>50</v>
      </c>
      <c r="AS34">
        <v>15</v>
      </c>
    </row>
    <row r="35" spans="1:55" x14ac:dyDescent="0.3">
      <c r="A35">
        <v>1</v>
      </c>
      <c r="B35" s="1">
        <v>44550</v>
      </c>
      <c r="C35" s="1">
        <v>44596</v>
      </c>
      <c r="D35">
        <v>11</v>
      </c>
      <c r="E35" t="s">
        <v>207</v>
      </c>
      <c r="F35">
        <v>34</v>
      </c>
      <c r="G35" t="s">
        <v>214</v>
      </c>
      <c r="H35" t="s">
        <v>214</v>
      </c>
      <c r="I35" t="s">
        <v>79</v>
      </c>
      <c r="J35" t="s">
        <v>215</v>
      </c>
      <c r="K35" t="s">
        <v>216</v>
      </c>
      <c r="L35">
        <v>2</v>
      </c>
      <c r="M35">
        <v>1</v>
      </c>
      <c r="N35">
        <v>1</v>
      </c>
      <c r="O35">
        <v>0</v>
      </c>
      <c r="P35">
        <v>0</v>
      </c>
      <c r="Q35" t="s">
        <v>75</v>
      </c>
      <c r="R35">
        <v>2021</v>
      </c>
      <c r="S35" t="s">
        <v>138</v>
      </c>
      <c r="T35" t="s">
        <v>99</v>
      </c>
      <c r="V35">
        <v>0.32</v>
      </c>
      <c r="W35">
        <v>115</v>
      </c>
      <c r="Y35">
        <v>30</v>
      </c>
      <c r="Z35">
        <v>10</v>
      </c>
      <c r="AA35">
        <v>300</v>
      </c>
      <c r="AB35">
        <v>1</v>
      </c>
      <c r="AC35">
        <v>1</v>
      </c>
      <c r="AD35">
        <v>30</v>
      </c>
      <c r="AE35">
        <v>20</v>
      </c>
      <c r="AH35">
        <v>150</v>
      </c>
      <c r="AI35">
        <v>2</v>
      </c>
      <c r="AO35">
        <v>15</v>
      </c>
      <c r="AP35">
        <v>10</v>
      </c>
      <c r="AX35">
        <v>15</v>
      </c>
      <c r="AY35">
        <v>10</v>
      </c>
    </row>
    <row r="36" spans="1:55" x14ac:dyDescent="0.3">
      <c r="A36">
        <v>1</v>
      </c>
      <c r="B36" s="1">
        <v>44550</v>
      </c>
      <c r="C36" s="1">
        <v>44596</v>
      </c>
      <c r="D36">
        <v>12</v>
      </c>
      <c r="E36" t="s">
        <v>217</v>
      </c>
      <c r="F36">
        <v>35</v>
      </c>
      <c r="G36" t="s">
        <v>218</v>
      </c>
      <c r="H36" t="s">
        <v>218</v>
      </c>
      <c r="I36" t="s">
        <v>79</v>
      </c>
      <c r="J36" t="s">
        <v>219</v>
      </c>
      <c r="K36" t="s">
        <v>220</v>
      </c>
      <c r="L36">
        <v>1</v>
      </c>
      <c r="M36">
        <v>0</v>
      </c>
      <c r="N36">
        <v>1</v>
      </c>
      <c r="O36">
        <v>0</v>
      </c>
      <c r="P36">
        <v>0</v>
      </c>
      <c r="Q36" t="s">
        <v>69</v>
      </c>
      <c r="R36" t="s">
        <v>1309</v>
      </c>
      <c r="S36" t="s">
        <v>185</v>
      </c>
      <c r="T36" t="s">
        <v>186</v>
      </c>
      <c r="V36">
        <v>16</v>
      </c>
      <c r="W36">
        <v>80</v>
      </c>
      <c r="Y36">
        <v>75</v>
      </c>
      <c r="Z36">
        <v>4</v>
      </c>
      <c r="AA36">
        <v>1875</v>
      </c>
      <c r="AB36">
        <v>1</v>
      </c>
      <c r="AC36">
        <v>1</v>
      </c>
      <c r="AD36">
        <v>75</v>
      </c>
      <c r="AE36">
        <v>15</v>
      </c>
      <c r="AH36">
        <v>500</v>
      </c>
      <c r="AI36">
        <v>1</v>
      </c>
      <c r="AO36">
        <v>75</v>
      </c>
      <c r="AP36">
        <v>15</v>
      </c>
    </row>
    <row r="37" spans="1:55" x14ac:dyDescent="0.3">
      <c r="A37">
        <v>1</v>
      </c>
      <c r="B37" s="1">
        <v>44550</v>
      </c>
      <c r="C37" s="1">
        <v>44596</v>
      </c>
      <c r="D37">
        <v>12</v>
      </c>
      <c r="E37" t="s">
        <v>217</v>
      </c>
      <c r="F37">
        <v>36</v>
      </c>
      <c r="G37" t="s">
        <v>1160</v>
      </c>
      <c r="H37" t="s">
        <v>221</v>
      </c>
      <c r="I37" t="s">
        <v>66</v>
      </c>
      <c r="J37" t="s">
        <v>222</v>
      </c>
      <c r="K37" t="s">
        <v>223</v>
      </c>
      <c r="L37">
        <v>2</v>
      </c>
      <c r="M37">
        <v>1</v>
      </c>
      <c r="N37">
        <v>1</v>
      </c>
      <c r="O37">
        <v>0</v>
      </c>
      <c r="P37">
        <v>1</v>
      </c>
      <c r="Q37" t="s">
        <v>69</v>
      </c>
      <c r="R37" t="s">
        <v>1309</v>
      </c>
      <c r="S37" t="s">
        <v>165</v>
      </c>
      <c r="T37" t="s">
        <v>99</v>
      </c>
      <c r="Y37">
        <v>40</v>
      </c>
      <c r="Z37">
        <v>3</v>
      </c>
      <c r="AA37">
        <v>1333</v>
      </c>
      <c r="AB37">
        <v>0</v>
      </c>
    </row>
    <row r="38" spans="1:55" x14ac:dyDescent="0.3">
      <c r="A38">
        <v>1</v>
      </c>
      <c r="B38" s="1">
        <v>44550</v>
      </c>
      <c r="C38" s="1">
        <v>44596</v>
      </c>
      <c r="D38">
        <v>12</v>
      </c>
      <c r="E38" t="s">
        <v>217</v>
      </c>
      <c r="F38">
        <v>37</v>
      </c>
      <c r="G38" t="s">
        <v>224</v>
      </c>
      <c r="H38" t="s">
        <v>224</v>
      </c>
      <c r="I38" t="s">
        <v>225</v>
      </c>
      <c r="J38" t="s">
        <v>226</v>
      </c>
      <c r="K38" t="s">
        <v>227</v>
      </c>
      <c r="L38">
        <v>1</v>
      </c>
      <c r="M38">
        <v>1</v>
      </c>
      <c r="N38">
        <v>0</v>
      </c>
      <c r="O38">
        <v>0</v>
      </c>
      <c r="P38">
        <v>0</v>
      </c>
      <c r="Q38" t="s">
        <v>75</v>
      </c>
      <c r="R38" t="s">
        <v>1309</v>
      </c>
      <c r="S38" t="s">
        <v>70</v>
      </c>
      <c r="T38" t="s">
        <v>70</v>
      </c>
      <c r="Y38">
        <v>40</v>
      </c>
      <c r="Z38">
        <v>5</v>
      </c>
      <c r="AA38">
        <v>800</v>
      </c>
      <c r="AB38">
        <v>1</v>
      </c>
      <c r="AC38">
        <v>1</v>
      </c>
      <c r="AD38">
        <v>40</v>
      </c>
      <c r="AE38">
        <v>24</v>
      </c>
      <c r="AH38">
        <v>167</v>
      </c>
      <c r="AI38">
        <v>3</v>
      </c>
      <c r="AR38">
        <v>13.33</v>
      </c>
      <c r="AS38">
        <v>8</v>
      </c>
      <c r="AX38">
        <v>13.33</v>
      </c>
      <c r="AY38">
        <v>8</v>
      </c>
      <c r="BA38">
        <v>13.33</v>
      </c>
      <c r="BB38">
        <v>8</v>
      </c>
    </row>
    <row r="39" spans="1:55" x14ac:dyDescent="0.3">
      <c r="A39">
        <v>1</v>
      </c>
      <c r="B39" s="1">
        <v>44550</v>
      </c>
      <c r="C39" s="1">
        <v>44596</v>
      </c>
      <c r="D39">
        <v>13</v>
      </c>
      <c r="E39" t="s">
        <v>228</v>
      </c>
      <c r="F39">
        <v>38</v>
      </c>
      <c r="G39" t="s">
        <v>229</v>
      </c>
      <c r="H39" t="s">
        <v>229</v>
      </c>
      <c r="I39" t="s">
        <v>89</v>
      </c>
      <c r="J39" t="s">
        <v>230</v>
      </c>
      <c r="K39" t="s">
        <v>231</v>
      </c>
      <c r="L39">
        <v>4</v>
      </c>
      <c r="M39">
        <v>3</v>
      </c>
      <c r="N39">
        <v>1</v>
      </c>
      <c r="O39">
        <v>0</v>
      </c>
      <c r="P39">
        <v>1</v>
      </c>
      <c r="Q39" t="s">
        <v>75</v>
      </c>
      <c r="R39">
        <v>2016</v>
      </c>
      <c r="S39" t="s">
        <v>86</v>
      </c>
      <c r="T39" t="s">
        <v>87</v>
      </c>
      <c r="V39">
        <v>4</v>
      </c>
      <c r="Y39">
        <v>30</v>
      </c>
      <c r="Z39">
        <v>0.5</v>
      </c>
      <c r="AA39">
        <v>6000</v>
      </c>
      <c r="AB39">
        <v>1</v>
      </c>
      <c r="AC39">
        <v>1</v>
      </c>
      <c r="AD39">
        <v>105</v>
      </c>
      <c r="AE39">
        <v>3</v>
      </c>
      <c r="AH39">
        <v>3500</v>
      </c>
      <c r="AI39">
        <v>3</v>
      </c>
      <c r="AO39">
        <v>35</v>
      </c>
      <c r="AP39">
        <v>1</v>
      </c>
      <c r="AR39">
        <v>35</v>
      </c>
      <c r="AS39">
        <v>1</v>
      </c>
      <c r="BA39">
        <v>35</v>
      </c>
      <c r="BB39">
        <v>1</v>
      </c>
    </row>
    <row r="40" spans="1:55" x14ac:dyDescent="0.3">
      <c r="A40">
        <v>1</v>
      </c>
      <c r="B40" s="1">
        <v>44550</v>
      </c>
      <c r="C40" s="1">
        <v>44596</v>
      </c>
      <c r="D40">
        <v>13</v>
      </c>
      <c r="E40" t="s">
        <v>228</v>
      </c>
      <c r="F40">
        <v>39</v>
      </c>
      <c r="G40" t="s">
        <v>232</v>
      </c>
      <c r="H40" t="s">
        <v>232</v>
      </c>
      <c r="I40" t="s">
        <v>182</v>
      </c>
      <c r="J40" t="s">
        <v>233</v>
      </c>
      <c r="K40" t="s">
        <v>234</v>
      </c>
      <c r="L40">
        <v>2</v>
      </c>
      <c r="M40">
        <v>0</v>
      </c>
      <c r="N40">
        <v>2</v>
      </c>
      <c r="O40">
        <v>0</v>
      </c>
      <c r="P40">
        <v>0</v>
      </c>
      <c r="Q40" t="s">
        <v>69</v>
      </c>
      <c r="R40" t="s">
        <v>1309</v>
      </c>
      <c r="S40" t="s">
        <v>235</v>
      </c>
      <c r="T40" t="s">
        <v>236</v>
      </c>
      <c r="Y40">
        <v>50</v>
      </c>
      <c r="Z40">
        <v>10</v>
      </c>
      <c r="AA40">
        <v>500</v>
      </c>
      <c r="AB40">
        <v>1</v>
      </c>
      <c r="AC40">
        <v>1</v>
      </c>
      <c r="AD40">
        <v>50</v>
      </c>
      <c r="AE40">
        <v>20</v>
      </c>
      <c r="AH40">
        <v>250</v>
      </c>
      <c r="AI40">
        <v>2</v>
      </c>
      <c r="AR40">
        <v>25</v>
      </c>
      <c r="AS40">
        <v>10</v>
      </c>
      <c r="BA40">
        <v>25</v>
      </c>
      <c r="BB40">
        <v>10</v>
      </c>
    </row>
    <row r="41" spans="1:55" x14ac:dyDescent="0.3">
      <c r="A41">
        <v>1</v>
      </c>
      <c r="B41" s="1">
        <v>44550</v>
      </c>
      <c r="C41" s="1">
        <v>44596</v>
      </c>
      <c r="D41">
        <v>13</v>
      </c>
      <c r="E41" t="s">
        <v>228</v>
      </c>
      <c r="F41">
        <v>40</v>
      </c>
      <c r="G41" t="s">
        <v>1161</v>
      </c>
      <c r="H41" t="s">
        <v>237</v>
      </c>
      <c r="I41" t="s">
        <v>182</v>
      </c>
      <c r="J41" t="s">
        <v>238</v>
      </c>
      <c r="K41" t="s">
        <v>239</v>
      </c>
      <c r="L41">
        <v>1</v>
      </c>
      <c r="M41">
        <v>1</v>
      </c>
      <c r="N41">
        <v>0</v>
      </c>
      <c r="O41">
        <v>0</v>
      </c>
      <c r="P41">
        <v>0</v>
      </c>
      <c r="Q41" t="s">
        <v>69</v>
      </c>
      <c r="R41" t="s">
        <v>1309</v>
      </c>
      <c r="S41" t="s">
        <v>134</v>
      </c>
      <c r="T41" t="s">
        <v>99</v>
      </c>
      <c r="U41">
        <v>180</v>
      </c>
      <c r="Y41">
        <v>50</v>
      </c>
      <c r="Z41">
        <v>2</v>
      </c>
      <c r="AA41">
        <v>2500</v>
      </c>
      <c r="AB41">
        <v>1</v>
      </c>
      <c r="AC41">
        <v>1</v>
      </c>
      <c r="AD41">
        <v>100</v>
      </c>
      <c r="AE41">
        <v>10</v>
      </c>
      <c r="AH41">
        <v>1000</v>
      </c>
      <c r="AI41">
        <v>4</v>
      </c>
      <c r="AL41">
        <v>25</v>
      </c>
      <c r="AM41">
        <v>2.5</v>
      </c>
      <c r="AR41">
        <v>25</v>
      </c>
      <c r="AS41">
        <v>2.5</v>
      </c>
      <c r="AX41">
        <v>25</v>
      </c>
      <c r="AY41">
        <v>2.5</v>
      </c>
      <c r="BA41">
        <v>25</v>
      </c>
      <c r="BB41">
        <v>2.5</v>
      </c>
    </row>
    <row r="42" spans="1:55" x14ac:dyDescent="0.3">
      <c r="A42">
        <v>1</v>
      </c>
      <c r="B42" s="1">
        <v>44550</v>
      </c>
      <c r="C42" s="1">
        <v>44596</v>
      </c>
      <c r="D42">
        <v>14</v>
      </c>
      <c r="E42" t="s">
        <v>240</v>
      </c>
      <c r="F42">
        <v>41</v>
      </c>
      <c r="G42" t="s">
        <v>1162</v>
      </c>
      <c r="H42" t="s">
        <v>241</v>
      </c>
      <c r="I42" t="s">
        <v>173</v>
      </c>
      <c r="J42" t="s">
        <v>242</v>
      </c>
      <c r="K42" t="s">
        <v>243</v>
      </c>
      <c r="L42">
        <v>1</v>
      </c>
      <c r="M42">
        <v>1</v>
      </c>
      <c r="N42">
        <v>0</v>
      </c>
      <c r="O42">
        <v>0</v>
      </c>
      <c r="P42">
        <v>0</v>
      </c>
      <c r="Q42" t="s">
        <v>69</v>
      </c>
      <c r="R42">
        <v>2019</v>
      </c>
      <c r="S42" t="s">
        <v>134</v>
      </c>
      <c r="T42" t="s">
        <v>99</v>
      </c>
      <c r="U42">
        <v>90</v>
      </c>
      <c r="Y42">
        <v>100</v>
      </c>
      <c r="Z42">
        <v>3</v>
      </c>
      <c r="AA42">
        <v>3333</v>
      </c>
      <c r="AB42">
        <v>1</v>
      </c>
      <c r="AC42">
        <v>1</v>
      </c>
      <c r="AD42">
        <v>100</v>
      </c>
      <c r="AE42">
        <v>6</v>
      </c>
      <c r="AH42">
        <v>1667</v>
      </c>
      <c r="AI42">
        <v>2</v>
      </c>
      <c r="AO42">
        <v>50</v>
      </c>
      <c r="AP42">
        <v>3</v>
      </c>
      <c r="AX42">
        <v>50</v>
      </c>
      <c r="AY42">
        <v>3</v>
      </c>
    </row>
    <row r="43" spans="1:55" x14ac:dyDescent="0.3">
      <c r="A43">
        <v>1</v>
      </c>
      <c r="B43" s="1">
        <v>44550</v>
      </c>
      <c r="C43" s="1">
        <v>44596</v>
      </c>
      <c r="D43">
        <v>14</v>
      </c>
      <c r="E43" t="s">
        <v>240</v>
      </c>
      <c r="F43">
        <v>42</v>
      </c>
      <c r="G43" t="s">
        <v>1163</v>
      </c>
      <c r="H43" t="s">
        <v>244</v>
      </c>
      <c r="I43" t="s">
        <v>66</v>
      </c>
      <c r="J43" t="s">
        <v>245</v>
      </c>
      <c r="K43" t="s">
        <v>246</v>
      </c>
      <c r="L43">
        <v>3</v>
      </c>
      <c r="M43">
        <v>2</v>
      </c>
      <c r="N43">
        <v>1</v>
      </c>
      <c r="O43">
        <v>0</v>
      </c>
      <c r="P43">
        <v>0</v>
      </c>
      <c r="Q43" t="s">
        <v>69</v>
      </c>
      <c r="R43">
        <v>2018</v>
      </c>
      <c r="S43" t="s">
        <v>247</v>
      </c>
      <c r="T43" t="s">
        <v>77</v>
      </c>
      <c r="V43">
        <v>16</v>
      </c>
      <c r="Y43">
        <v>100</v>
      </c>
      <c r="Z43">
        <v>3</v>
      </c>
      <c r="AA43">
        <v>3333</v>
      </c>
      <c r="AB43">
        <v>1</v>
      </c>
      <c r="AC43">
        <v>0</v>
      </c>
    </row>
    <row r="44" spans="1:55" x14ac:dyDescent="0.3">
      <c r="A44">
        <v>1</v>
      </c>
      <c r="B44" s="1">
        <v>44550</v>
      </c>
      <c r="C44" s="1">
        <v>44596</v>
      </c>
      <c r="D44">
        <v>14</v>
      </c>
      <c r="E44" t="s">
        <v>240</v>
      </c>
      <c r="F44">
        <v>43</v>
      </c>
      <c r="G44" t="s">
        <v>1164</v>
      </c>
      <c r="H44" t="s">
        <v>248</v>
      </c>
      <c r="I44" t="s">
        <v>225</v>
      </c>
      <c r="J44" t="s">
        <v>249</v>
      </c>
      <c r="K44" t="s">
        <v>250</v>
      </c>
      <c r="L44">
        <v>2</v>
      </c>
      <c r="M44">
        <v>0</v>
      </c>
      <c r="N44">
        <v>2</v>
      </c>
      <c r="O44">
        <v>0</v>
      </c>
      <c r="P44">
        <v>0</v>
      </c>
      <c r="Q44" t="s">
        <v>75</v>
      </c>
      <c r="R44" t="s">
        <v>1309</v>
      </c>
      <c r="S44" t="s">
        <v>70</v>
      </c>
      <c r="T44" t="s">
        <v>70</v>
      </c>
      <c r="U44">
        <v>0</v>
      </c>
      <c r="Y44">
        <v>45</v>
      </c>
      <c r="Z44">
        <v>5</v>
      </c>
      <c r="AA44">
        <v>900</v>
      </c>
      <c r="AB44">
        <v>0</v>
      </c>
    </row>
    <row r="45" spans="1:55" x14ac:dyDescent="0.3">
      <c r="A45">
        <v>1</v>
      </c>
      <c r="B45" s="1">
        <v>44550</v>
      </c>
      <c r="C45" s="1">
        <v>44596</v>
      </c>
      <c r="D45">
        <v>15</v>
      </c>
      <c r="E45" t="s">
        <v>251</v>
      </c>
      <c r="F45">
        <v>44</v>
      </c>
      <c r="G45" t="s">
        <v>1165</v>
      </c>
      <c r="H45" t="s">
        <v>252</v>
      </c>
      <c r="I45" t="s">
        <v>253</v>
      </c>
      <c r="J45" t="s">
        <v>254</v>
      </c>
      <c r="K45" t="s">
        <v>255</v>
      </c>
      <c r="L45">
        <v>3</v>
      </c>
      <c r="M45">
        <v>3</v>
      </c>
      <c r="N45">
        <v>0</v>
      </c>
      <c r="O45">
        <v>0</v>
      </c>
      <c r="P45">
        <v>0</v>
      </c>
      <c r="Q45" t="s">
        <v>75</v>
      </c>
      <c r="R45" t="s">
        <v>1309</v>
      </c>
      <c r="S45" t="s">
        <v>256</v>
      </c>
      <c r="T45" t="s">
        <v>156</v>
      </c>
      <c r="U45">
        <v>1000</v>
      </c>
      <c r="Y45">
        <v>30</v>
      </c>
      <c r="Z45">
        <v>3</v>
      </c>
      <c r="AA45">
        <v>1000</v>
      </c>
      <c r="AB45">
        <v>1</v>
      </c>
      <c r="AC45">
        <v>1</v>
      </c>
      <c r="AD45">
        <v>100</v>
      </c>
      <c r="AE45">
        <v>40</v>
      </c>
      <c r="AH45">
        <v>250</v>
      </c>
      <c r="AI45">
        <v>1</v>
      </c>
      <c r="AX45">
        <v>100</v>
      </c>
      <c r="AY45">
        <v>40</v>
      </c>
    </row>
    <row r="46" spans="1:55" x14ac:dyDescent="0.3">
      <c r="A46">
        <v>1</v>
      </c>
      <c r="B46" s="1">
        <v>44550</v>
      </c>
      <c r="C46" s="1">
        <v>44596</v>
      </c>
      <c r="D46">
        <v>15</v>
      </c>
      <c r="E46" t="s">
        <v>251</v>
      </c>
      <c r="F46">
        <v>45</v>
      </c>
      <c r="G46" t="s">
        <v>257</v>
      </c>
      <c r="H46" t="s">
        <v>257</v>
      </c>
      <c r="I46" t="s">
        <v>225</v>
      </c>
      <c r="J46" t="s">
        <v>258</v>
      </c>
      <c r="K46" t="s">
        <v>259</v>
      </c>
      <c r="L46">
        <v>2</v>
      </c>
      <c r="M46">
        <v>2</v>
      </c>
      <c r="N46">
        <v>0</v>
      </c>
      <c r="O46">
        <v>0</v>
      </c>
      <c r="P46">
        <v>0</v>
      </c>
      <c r="Q46" t="s">
        <v>75</v>
      </c>
      <c r="R46">
        <v>2021</v>
      </c>
      <c r="S46" t="s">
        <v>134</v>
      </c>
      <c r="T46" t="s">
        <v>99</v>
      </c>
      <c r="Y46">
        <v>50</v>
      </c>
      <c r="Z46">
        <v>4</v>
      </c>
      <c r="AA46">
        <v>1250</v>
      </c>
      <c r="AB46">
        <v>1</v>
      </c>
      <c r="AC46">
        <v>1</v>
      </c>
      <c r="AD46">
        <v>25</v>
      </c>
      <c r="AE46">
        <v>25</v>
      </c>
      <c r="AF46">
        <v>25</v>
      </c>
      <c r="AH46">
        <v>100</v>
      </c>
      <c r="AI46">
        <v>1</v>
      </c>
      <c r="BA46">
        <v>25</v>
      </c>
      <c r="BB46">
        <v>25</v>
      </c>
      <c r="BC46">
        <v>25</v>
      </c>
    </row>
    <row r="47" spans="1:55" x14ac:dyDescent="0.3">
      <c r="A47">
        <v>1</v>
      </c>
      <c r="B47" s="1">
        <v>44550</v>
      </c>
      <c r="C47" s="1">
        <v>44596</v>
      </c>
      <c r="D47">
        <v>15</v>
      </c>
      <c r="E47" t="s">
        <v>251</v>
      </c>
      <c r="F47">
        <v>46</v>
      </c>
      <c r="G47" t="s">
        <v>260</v>
      </c>
      <c r="H47" t="s">
        <v>260</v>
      </c>
      <c r="I47" t="s">
        <v>66</v>
      </c>
      <c r="J47" t="s">
        <v>261</v>
      </c>
      <c r="K47" t="s">
        <v>262</v>
      </c>
      <c r="L47">
        <v>3</v>
      </c>
      <c r="M47">
        <v>3</v>
      </c>
      <c r="N47">
        <v>0</v>
      </c>
      <c r="O47">
        <v>0</v>
      </c>
      <c r="P47">
        <v>0</v>
      </c>
      <c r="Q47" t="s">
        <v>69</v>
      </c>
      <c r="R47">
        <v>2019</v>
      </c>
      <c r="S47" t="s">
        <v>143</v>
      </c>
      <c r="T47" t="s">
        <v>144</v>
      </c>
      <c r="U47">
        <v>100</v>
      </c>
      <c r="W47">
        <v>95</v>
      </c>
      <c r="Y47" s="2">
        <v>5.0000000000000002E-5</v>
      </c>
      <c r="Z47">
        <v>5</v>
      </c>
      <c r="AA47">
        <v>0</v>
      </c>
      <c r="AB47">
        <v>1</v>
      </c>
      <c r="AC47">
        <v>1</v>
      </c>
      <c r="AD47" s="2">
        <v>5.0000000000000002E-5</v>
      </c>
      <c r="AE47">
        <v>5</v>
      </c>
      <c r="AH47">
        <v>0</v>
      </c>
      <c r="AI47">
        <v>3</v>
      </c>
      <c r="AO47" s="2">
        <v>1.5999999999999999E-5</v>
      </c>
      <c r="AP47">
        <v>1.6659999999999999</v>
      </c>
      <c r="AR47" s="2">
        <v>1.5999999999999999E-5</v>
      </c>
      <c r="AS47">
        <v>1.6659999999999999</v>
      </c>
      <c r="AX47" s="2">
        <v>1.5999999999999999E-5</v>
      </c>
      <c r="AY47">
        <v>1.6659999999999999</v>
      </c>
    </row>
    <row r="48" spans="1:55" x14ac:dyDescent="0.3">
      <c r="A48">
        <v>1</v>
      </c>
      <c r="B48" s="1">
        <v>44550</v>
      </c>
      <c r="C48" s="1">
        <v>44596</v>
      </c>
      <c r="D48">
        <v>16</v>
      </c>
      <c r="E48" t="s">
        <v>263</v>
      </c>
      <c r="F48">
        <v>47</v>
      </c>
      <c r="G48" t="s">
        <v>1166</v>
      </c>
      <c r="H48" t="s">
        <v>264</v>
      </c>
      <c r="I48" t="s">
        <v>182</v>
      </c>
      <c r="J48" t="s">
        <v>265</v>
      </c>
      <c r="K48" t="s">
        <v>266</v>
      </c>
      <c r="L48">
        <v>2</v>
      </c>
      <c r="M48">
        <v>1</v>
      </c>
      <c r="N48">
        <v>1</v>
      </c>
      <c r="O48">
        <v>0</v>
      </c>
      <c r="P48">
        <v>1</v>
      </c>
      <c r="Q48" t="s">
        <v>69</v>
      </c>
      <c r="R48">
        <v>2016</v>
      </c>
      <c r="S48" t="s">
        <v>165</v>
      </c>
      <c r="T48" t="s">
        <v>99</v>
      </c>
      <c r="V48">
        <v>20</v>
      </c>
      <c r="Y48">
        <v>80</v>
      </c>
      <c r="Z48">
        <v>4</v>
      </c>
      <c r="AA48">
        <v>2000</v>
      </c>
      <c r="AB48">
        <v>1</v>
      </c>
      <c r="AC48">
        <v>1</v>
      </c>
      <c r="AD48">
        <v>50</v>
      </c>
      <c r="AE48">
        <v>3.5</v>
      </c>
      <c r="AF48">
        <v>30</v>
      </c>
      <c r="AH48">
        <v>1429</v>
      </c>
      <c r="AI48">
        <v>2</v>
      </c>
      <c r="AL48">
        <v>25</v>
      </c>
      <c r="AM48">
        <v>1.75</v>
      </c>
      <c r="AN48">
        <v>15</v>
      </c>
      <c r="AR48">
        <v>25</v>
      </c>
      <c r="AS48">
        <v>1.75</v>
      </c>
      <c r="AT48">
        <v>15</v>
      </c>
    </row>
    <row r="49" spans="1:55" x14ac:dyDescent="0.3">
      <c r="A49">
        <v>1</v>
      </c>
      <c r="B49" s="1">
        <v>44550</v>
      </c>
      <c r="C49" s="1">
        <v>44596</v>
      </c>
      <c r="D49">
        <v>16</v>
      </c>
      <c r="E49" t="s">
        <v>263</v>
      </c>
      <c r="F49">
        <v>48</v>
      </c>
      <c r="G49" t="s">
        <v>1167</v>
      </c>
      <c r="H49" t="s">
        <v>267</v>
      </c>
      <c r="I49" t="s">
        <v>268</v>
      </c>
      <c r="J49" t="s">
        <v>269</v>
      </c>
      <c r="K49" t="s">
        <v>270</v>
      </c>
      <c r="L49">
        <v>3</v>
      </c>
      <c r="M49">
        <v>2</v>
      </c>
      <c r="N49">
        <v>1</v>
      </c>
      <c r="O49">
        <v>0</v>
      </c>
      <c r="P49">
        <v>0</v>
      </c>
      <c r="Q49" t="s">
        <v>69</v>
      </c>
      <c r="R49" t="s">
        <v>1309</v>
      </c>
      <c r="S49" t="s">
        <v>70</v>
      </c>
      <c r="T49" t="s">
        <v>70</v>
      </c>
      <c r="Y49">
        <v>75</v>
      </c>
      <c r="Z49">
        <v>7</v>
      </c>
      <c r="AA49">
        <v>1071</v>
      </c>
      <c r="AB49">
        <v>0</v>
      </c>
    </row>
    <row r="50" spans="1:55" x14ac:dyDescent="0.3">
      <c r="A50">
        <v>1</v>
      </c>
      <c r="B50" s="1">
        <v>44550</v>
      </c>
      <c r="C50" s="1">
        <v>44596</v>
      </c>
      <c r="D50">
        <v>16</v>
      </c>
      <c r="E50" t="s">
        <v>263</v>
      </c>
      <c r="F50">
        <v>49</v>
      </c>
      <c r="G50" t="s">
        <v>1168</v>
      </c>
      <c r="H50" t="s">
        <v>271</v>
      </c>
      <c r="I50" t="s">
        <v>66</v>
      </c>
      <c r="J50" t="s">
        <v>272</v>
      </c>
      <c r="K50" t="s">
        <v>273</v>
      </c>
      <c r="L50">
        <v>2</v>
      </c>
      <c r="M50">
        <v>1</v>
      </c>
      <c r="N50">
        <v>1</v>
      </c>
      <c r="O50">
        <v>0</v>
      </c>
      <c r="P50">
        <v>0</v>
      </c>
      <c r="Q50" t="s">
        <v>75</v>
      </c>
      <c r="R50">
        <v>2020</v>
      </c>
      <c r="S50" t="s">
        <v>185</v>
      </c>
      <c r="T50" t="s">
        <v>186</v>
      </c>
      <c r="V50">
        <v>10</v>
      </c>
      <c r="Y50">
        <v>75</v>
      </c>
      <c r="Z50">
        <v>4</v>
      </c>
      <c r="AA50">
        <v>1875</v>
      </c>
      <c r="AB50">
        <v>1</v>
      </c>
      <c r="AC50">
        <v>1</v>
      </c>
      <c r="AD50">
        <v>75</v>
      </c>
      <c r="AE50">
        <v>15</v>
      </c>
      <c r="AH50">
        <v>500</v>
      </c>
      <c r="AI50">
        <v>2</v>
      </c>
      <c r="AO50">
        <v>37.5</v>
      </c>
      <c r="AP50">
        <v>7.5</v>
      </c>
      <c r="AX50">
        <v>37.5</v>
      </c>
      <c r="AY50">
        <v>7.5</v>
      </c>
    </row>
    <row r="51" spans="1:55" x14ac:dyDescent="0.3">
      <c r="A51">
        <v>1</v>
      </c>
      <c r="B51" s="1">
        <v>44550</v>
      </c>
      <c r="C51" s="1">
        <v>44596</v>
      </c>
      <c r="D51">
        <v>16</v>
      </c>
      <c r="E51" t="s">
        <v>263</v>
      </c>
      <c r="F51">
        <v>50</v>
      </c>
      <c r="G51" t="s">
        <v>1169</v>
      </c>
      <c r="H51" t="s">
        <v>274</v>
      </c>
      <c r="I51" t="s">
        <v>66</v>
      </c>
      <c r="J51" t="s">
        <v>275</v>
      </c>
      <c r="K51" t="s">
        <v>276</v>
      </c>
      <c r="L51">
        <v>4</v>
      </c>
      <c r="M51">
        <v>1</v>
      </c>
      <c r="N51">
        <v>3</v>
      </c>
      <c r="O51">
        <v>0</v>
      </c>
      <c r="P51">
        <v>1</v>
      </c>
      <c r="Q51" t="s">
        <v>69</v>
      </c>
      <c r="R51">
        <v>2017</v>
      </c>
      <c r="S51" t="s">
        <v>70</v>
      </c>
      <c r="T51" t="s">
        <v>70</v>
      </c>
      <c r="V51">
        <v>3</v>
      </c>
      <c r="W51">
        <v>55</v>
      </c>
      <c r="Y51">
        <v>45</v>
      </c>
      <c r="Z51">
        <v>2</v>
      </c>
      <c r="AA51">
        <v>2250</v>
      </c>
      <c r="AB51">
        <v>1</v>
      </c>
      <c r="AC51">
        <v>1</v>
      </c>
      <c r="AD51">
        <v>45</v>
      </c>
      <c r="AE51">
        <v>12</v>
      </c>
      <c r="AH51">
        <v>375</v>
      </c>
      <c r="AI51">
        <v>2</v>
      </c>
      <c r="AR51">
        <v>22.5</v>
      </c>
      <c r="AS51">
        <v>6</v>
      </c>
      <c r="AX51">
        <v>22.5</v>
      </c>
      <c r="AY51">
        <v>6</v>
      </c>
    </row>
    <row r="52" spans="1:55" x14ac:dyDescent="0.3">
      <c r="A52">
        <v>1</v>
      </c>
      <c r="B52" s="1">
        <v>44550</v>
      </c>
      <c r="C52" s="1">
        <v>44596</v>
      </c>
      <c r="D52">
        <v>17</v>
      </c>
      <c r="E52" t="s">
        <v>277</v>
      </c>
      <c r="F52">
        <v>51</v>
      </c>
      <c r="G52" t="s">
        <v>1170</v>
      </c>
      <c r="H52" t="s">
        <v>278</v>
      </c>
      <c r="I52" t="s">
        <v>79</v>
      </c>
      <c r="J52" t="s">
        <v>279</v>
      </c>
      <c r="K52" t="s">
        <v>280</v>
      </c>
      <c r="L52">
        <v>3</v>
      </c>
      <c r="M52">
        <v>3</v>
      </c>
      <c r="N52">
        <v>0</v>
      </c>
      <c r="O52">
        <v>0</v>
      </c>
      <c r="P52">
        <v>0</v>
      </c>
      <c r="Q52" t="s">
        <v>75</v>
      </c>
      <c r="R52">
        <v>2021</v>
      </c>
      <c r="S52" t="s">
        <v>281</v>
      </c>
      <c r="T52" t="s">
        <v>93</v>
      </c>
      <c r="V52">
        <v>3.5</v>
      </c>
      <c r="Y52">
        <v>50</v>
      </c>
      <c r="Z52">
        <v>10</v>
      </c>
      <c r="AA52">
        <v>500</v>
      </c>
      <c r="AB52">
        <v>1</v>
      </c>
      <c r="AC52">
        <v>1</v>
      </c>
      <c r="AD52">
        <v>50</v>
      </c>
      <c r="AE52">
        <v>25</v>
      </c>
      <c r="AH52">
        <v>200</v>
      </c>
      <c r="AI52">
        <v>5</v>
      </c>
      <c r="AL52">
        <v>10</v>
      </c>
      <c r="AM52">
        <v>5</v>
      </c>
      <c r="AO52">
        <v>10</v>
      </c>
      <c r="AP52">
        <v>5</v>
      </c>
      <c r="AR52">
        <v>10</v>
      </c>
      <c r="AS52">
        <v>5</v>
      </c>
      <c r="AX52">
        <v>10</v>
      </c>
      <c r="AY52">
        <v>5</v>
      </c>
      <c r="BA52">
        <v>10</v>
      </c>
      <c r="BB52">
        <v>5</v>
      </c>
    </row>
    <row r="53" spans="1:55" x14ac:dyDescent="0.3">
      <c r="A53">
        <v>1</v>
      </c>
      <c r="B53" s="1">
        <v>44550</v>
      </c>
      <c r="C53" s="1">
        <v>44596</v>
      </c>
      <c r="D53">
        <v>17</v>
      </c>
      <c r="E53" t="s">
        <v>277</v>
      </c>
      <c r="F53">
        <v>52</v>
      </c>
      <c r="G53" t="s">
        <v>1171</v>
      </c>
      <c r="H53" t="s">
        <v>282</v>
      </c>
      <c r="I53" t="s">
        <v>89</v>
      </c>
      <c r="J53" t="s">
        <v>283</v>
      </c>
      <c r="K53" t="s">
        <v>284</v>
      </c>
      <c r="L53">
        <v>2</v>
      </c>
      <c r="M53">
        <v>1</v>
      </c>
      <c r="N53">
        <v>1</v>
      </c>
      <c r="O53">
        <v>0</v>
      </c>
      <c r="P53">
        <v>1</v>
      </c>
      <c r="Q53" t="s">
        <v>69</v>
      </c>
      <c r="R53">
        <v>2019</v>
      </c>
      <c r="S53" t="s">
        <v>134</v>
      </c>
      <c r="T53" t="s">
        <v>99</v>
      </c>
      <c r="U53">
        <v>150</v>
      </c>
      <c r="Y53">
        <v>150</v>
      </c>
      <c r="Z53">
        <v>3</v>
      </c>
      <c r="AA53">
        <v>5000</v>
      </c>
      <c r="AB53">
        <v>1</v>
      </c>
      <c r="AC53">
        <v>1</v>
      </c>
      <c r="AD53">
        <v>150</v>
      </c>
      <c r="AE53">
        <v>15</v>
      </c>
      <c r="AH53">
        <v>1000</v>
      </c>
      <c r="AI53">
        <v>3</v>
      </c>
      <c r="AL53">
        <v>50</v>
      </c>
      <c r="AM53">
        <v>5</v>
      </c>
      <c r="AO53">
        <v>50</v>
      </c>
      <c r="AP53">
        <v>5</v>
      </c>
      <c r="BA53">
        <v>50</v>
      </c>
      <c r="BB53">
        <v>5</v>
      </c>
    </row>
    <row r="54" spans="1:55" x14ac:dyDescent="0.3">
      <c r="A54">
        <v>1</v>
      </c>
      <c r="B54" s="1">
        <v>44550</v>
      </c>
      <c r="C54" s="1">
        <v>44596</v>
      </c>
      <c r="D54">
        <v>17</v>
      </c>
      <c r="E54" t="s">
        <v>277</v>
      </c>
      <c r="F54">
        <v>53</v>
      </c>
      <c r="G54" t="s">
        <v>285</v>
      </c>
      <c r="H54" t="s">
        <v>285</v>
      </c>
      <c r="I54" t="s">
        <v>286</v>
      </c>
      <c r="J54" t="s">
        <v>287</v>
      </c>
      <c r="K54" t="s">
        <v>288</v>
      </c>
      <c r="L54">
        <v>2</v>
      </c>
      <c r="M54">
        <v>1</v>
      </c>
      <c r="N54">
        <v>1</v>
      </c>
      <c r="O54">
        <v>0</v>
      </c>
      <c r="P54">
        <v>1</v>
      </c>
      <c r="Q54" t="s">
        <v>75</v>
      </c>
      <c r="R54">
        <v>2017</v>
      </c>
      <c r="S54" t="s">
        <v>185</v>
      </c>
      <c r="T54" t="s">
        <v>186</v>
      </c>
      <c r="U54">
        <v>110</v>
      </c>
      <c r="Y54">
        <v>50</v>
      </c>
      <c r="Z54">
        <v>5</v>
      </c>
      <c r="AA54">
        <v>1000</v>
      </c>
      <c r="AB54">
        <v>0</v>
      </c>
    </row>
    <row r="55" spans="1:55" x14ac:dyDescent="0.3">
      <c r="A55">
        <v>1</v>
      </c>
      <c r="B55" s="1">
        <v>44550</v>
      </c>
      <c r="C55" s="1">
        <v>44596</v>
      </c>
      <c r="D55">
        <v>17</v>
      </c>
      <c r="E55" t="s">
        <v>277</v>
      </c>
      <c r="F55">
        <v>54</v>
      </c>
      <c r="G55" t="s">
        <v>1172</v>
      </c>
      <c r="H55" t="s">
        <v>289</v>
      </c>
      <c r="I55" t="s">
        <v>225</v>
      </c>
      <c r="J55" t="s">
        <v>290</v>
      </c>
      <c r="K55" t="s">
        <v>291</v>
      </c>
      <c r="L55">
        <v>1</v>
      </c>
      <c r="M55">
        <v>1</v>
      </c>
      <c r="N55">
        <v>0</v>
      </c>
      <c r="O55">
        <v>0</v>
      </c>
      <c r="P55">
        <v>0</v>
      </c>
      <c r="Q55" t="s">
        <v>69</v>
      </c>
      <c r="R55">
        <v>2016</v>
      </c>
      <c r="S55" t="s">
        <v>165</v>
      </c>
      <c r="T55" t="s">
        <v>99</v>
      </c>
      <c r="U55">
        <v>250</v>
      </c>
      <c r="Y55">
        <v>80</v>
      </c>
      <c r="Z55">
        <v>10</v>
      </c>
      <c r="AA55">
        <v>800</v>
      </c>
      <c r="AB55">
        <v>1</v>
      </c>
      <c r="AC55">
        <v>1</v>
      </c>
      <c r="AD55">
        <v>80</v>
      </c>
      <c r="AE55">
        <v>20</v>
      </c>
      <c r="AH55">
        <v>400</v>
      </c>
      <c r="AI55">
        <v>1</v>
      </c>
      <c r="BA55">
        <v>80</v>
      </c>
      <c r="BB55">
        <v>20</v>
      </c>
    </row>
    <row r="56" spans="1:55" x14ac:dyDescent="0.3">
      <c r="A56">
        <v>1</v>
      </c>
      <c r="B56" s="1">
        <v>44550</v>
      </c>
      <c r="C56" s="1">
        <v>44596</v>
      </c>
      <c r="D56">
        <v>18</v>
      </c>
      <c r="E56" t="s">
        <v>292</v>
      </c>
      <c r="F56">
        <v>55</v>
      </c>
      <c r="G56" t="s">
        <v>1173</v>
      </c>
      <c r="H56" t="s">
        <v>293</v>
      </c>
      <c r="I56" t="s">
        <v>66</v>
      </c>
      <c r="J56" t="s">
        <v>294</v>
      </c>
      <c r="K56" t="s">
        <v>295</v>
      </c>
      <c r="L56">
        <v>3</v>
      </c>
      <c r="M56">
        <v>2</v>
      </c>
      <c r="N56">
        <v>1</v>
      </c>
      <c r="O56">
        <v>0</v>
      </c>
      <c r="P56">
        <v>0</v>
      </c>
      <c r="Q56" t="s">
        <v>69</v>
      </c>
      <c r="R56">
        <v>2016</v>
      </c>
      <c r="S56" t="s">
        <v>134</v>
      </c>
      <c r="T56" t="s">
        <v>99</v>
      </c>
      <c r="V56">
        <v>4.5</v>
      </c>
      <c r="Y56">
        <v>90</v>
      </c>
      <c r="Z56">
        <v>3</v>
      </c>
      <c r="AA56">
        <v>3000</v>
      </c>
      <c r="AB56">
        <v>0</v>
      </c>
    </row>
    <row r="57" spans="1:55" x14ac:dyDescent="0.3">
      <c r="A57">
        <v>1</v>
      </c>
      <c r="B57" s="1">
        <v>44550</v>
      </c>
      <c r="C57" s="1">
        <v>44596</v>
      </c>
      <c r="D57">
        <v>18</v>
      </c>
      <c r="E57" t="s">
        <v>292</v>
      </c>
      <c r="F57">
        <v>56</v>
      </c>
      <c r="G57" t="s">
        <v>1174</v>
      </c>
      <c r="H57" t="s">
        <v>296</v>
      </c>
      <c r="I57" t="s">
        <v>66</v>
      </c>
      <c r="J57" t="s">
        <v>297</v>
      </c>
      <c r="K57" t="s">
        <v>298</v>
      </c>
      <c r="L57">
        <v>1</v>
      </c>
      <c r="M57">
        <v>0</v>
      </c>
      <c r="N57">
        <v>1</v>
      </c>
      <c r="O57">
        <v>0</v>
      </c>
      <c r="P57">
        <v>0</v>
      </c>
      <c r="Q57" t="s">
        <v>69</v>
      </c>
      <c r="R57">
        <v>2019</v>
      </c>
      <c r="S57" t="s">
        <v>86</v>
      </c>
      <c r="T57" t="s">
        <v>87</v>
      </c>
      <c r="V57">
        <v>2</v>
      </c>
      <c r="Y57">
        <v>50</v>
      </c>
      <c r="Z57">
        <v>4</v>
      </c>
      <c r="AA57">
        <v>1250</v>
      </c>
      <c r="AB57">
        <v>1</v>
      </c>
      <c r="AC57">
        <v>0</v>
      </c>
    </row>
    <row r="58" spans="1:55" x14ac:dyDescent="0.3">
      <c r="A58">
        <v>1</v>
      </c>
      <c r="B58" s="1">
        <v>44550</v>
      </c>
      <c r="C58" s="1">
        <v>44596</v>
      </c>
      <c r="D58">
        <v>18</v>
      </c>
      <c r="E58" t="s">
        <v>292</v>
      </c>
      <c r="F58">
        <v>57</v>
      </c>
      <c r="G58" t="s">
        <v>299</v>
      </c>
      <c r="H58" t="s">
        <v>299</v>
      </c>
      <c r="I58" t="s">
        <v>72</v>
      </c>
      <c r="J58" t="s">
        <v>300</v>
      </c>
      <c r="K58" t="s">
        <v>301</v>
      </c>
      <c r="L58">
        <v>2</v>
      </c>
      <c r="M58">
        <v>2</v>
      </c>
      <c r="N58">
        <v>0</v>
      </c>
      <c r="O58">
        <v>0</v>
      </c>
      <c r="P58">
        <v>0</v>
      </c>
      <c r="Q58" t="s">
        <v>69</v>
      </c>
      <c r="R58">
        <v>2018</v>
      </c>
      <c r="S58" t="s">
        <v>155</v>
      </c>
      <c r="T58" t="s">
        <v>156</v>
      </c>
      <c r="Y58">
        <v>100</v>
      </c>
      <c r="Z58">
        <v>1</v>
      </c>
      <c r="AA58">
        <v>10000</v>
      </c>
      <c r="AB58">
        <v>1</v>
      </c>
      <c r="AC58">
        <v>1</v>
      </c>
      <c r="AD58">
        <v>1</v>
      </c>
      <c r="AE58">
        <v>1</v>
      </c>
      <c r="AF58">
        <v>99</v>
      </c>
      <c r="AH58">
        <v>100</v>
      </c>
      <c r="AI58">
        <v>1</v>
      </c>
      <c r="AL58">
        <v>1</v>
      </c>
      <c r="AM58">
        <v>1</v>
      </c>
      <c r="AN58">
        <v>99</v>
      </c>
    </row>
    <row r="59" spans="1:55" x14ac:dyDescent="0.3">
      <c r="A59">
        <v>1</v>
      </c>
      <c r="B59" s="1">
        <v>44550</v>
      </c>
      <c r="C59" s="1">
        <v>44596</v>
      </c>
      <c r="D59">
        <v>18</v>
      </c>
      <c r="E59" t="s">
        <v>292</v>
      </c>
      <c r="F59">
        <v>58</v>
      </c>
      <c r="G59" t="s">
        <v>302</v>
      </c>
      <c r="H59" t="s">
        <v>302</v>
      </c>
      <c r="I59" t="s">
        <v>286</v>
      </c>
      <c r="J59" t="s">
        <v>303</v>
      </c>
      <c r="K59" t="s">
        <v>304</v>
      </c>
      <c r="L59">
        <v>1</v>
      </c>
      <c r="M59">
        <v>0</v>
      </c>
      <c r="N59">
        <v>1</v>
      </c>
      <c r="O59">
        <v>0</v>
      </c>
      <c r="P59">
        <v>0</v>
      </c>
      <c r="Q59" t="s">
        <v>69</v>
      </c>
      <c r="R59">
        <v>2015</v>
      </c>
      <c r="S59" t="s">
        <v>86</v>
      </c>
      <c r="T59" t="s">
        <v>87</v>
      </c>
      <c r="U59">
        <v>116</v>
      </c>
      <c r="W59">
        <v>50</v>
      </c>
      <c r="Y59">
        <v>50</v>
      </c>
      <c r="Z59">
        <v>2.5</v>
      </c>
      <c r="AA59">
        <v>2000</v>
      </c>
      <c r="AB59">
        <v>0</v>
      </c>
    </row>
    <row r="60" spans="1:55" x14ac:dyDescent="0.3">
      <c r="A60">
        <v>1</v>
      </c>
      <c r="B60" s="1">
        <v>44550</v>
      </c>
      <c r="C60" s="1">
        <v>44596</v>
      </c>
      <c r="D60">
        <v>19</v>
      </c>
      <c r="E60" t="s">
        <v>305</v>
      </c>
      <c r="F60">
        <v>59</v>
      </c>
      <c r="G60" t="s">
        <v>306</v>
      </c>
      <c r="H60" t="s">
        <v>306</v>
      </c>
      <c r="I60" t="s">
        <v>182</v>
      </c>
      <c r="J60" t="s">
        <v>307</v>
      </c>
      <c r="K60" t="s">
        <v>308</v>
      </c>
      <c r="L60">
        <v>2</v>
      </c>
      <c r="M60">
        <v>2</v>
      </c>
      <c r="N60">
        <v>0</v>
      </c>
      <c r="O60">
        <v>0</v>
      </c>
      <c r="P60">
        <v>0</v>
      </c>
      <c r="Q60" t="s">
        <v>69</v>
      </c>
      <c r="R60">
        <v>2012</v>
      </c>
      <c r="S60" t="s">
        <v>86</v>
      </c>
      <c r="T60" t="s">
        <v>87</v>
      </c>
      <c r="V60">
        <v>1</v>
      </c>
      <c r="Y60">
        <v>15</v>
      </c>
      <c r="Z60">
        <v>5</v>
      </c>
      <c r="AA60">
        <v>300</v>
      </c>
      <c r="AB60">
        <v>0</v>
      </c>
    </row>
    <row r="61" spans="1:55" x14ac:dyDescent="0.3">
      <c r="A61">
        <v>1</v>
      </c>
      <c r="B61" s="1">
        <v>44550</v>
      </c>
      <c r="C61" s="1">
        <v>44596</v>
      </c>
      <c r="D61">
        <v>19</v>
      </c>
      <c r="E61" t="s">
        <v>305</v>
      </c>
      <c r="F61">
        <v>60</v>
      </c>
      <c r="G61" t="s">
        <v>1175</v>
      </c>
      <c r="H61" t="s">
        <v>309</v>
      </c>
      <c r="I61" t="s">
        <v>268</v>
      </c>
      <c r="J61" t="s">
        <v>310</v>
      </c>
      <c r="K61" t="s">
        <v>311</v>
      </c>
      <c r="L61">
        <v>2</v>
      </c>
      <c r="M61">
        <v>2</v>
      </c>
      <c r="N61">
        <v>0</v>
      </c>
      <c r="O61">
        <v>0</v>
      </c>
      <c r="P61">
        <v>0</v>
      </c>
      <c r="Q61" t="s">
        <v>69</v>
      </c>
      <c r="R61" t="s">
        <v>1309</v>
      </c>
      <c r="S61" t="s">
        <v>312</v>
      </c>
      <c r="T61" t="s">
        <v>171</v>
      </c>
      <c r="U61">
        <v>55</v>
      </c>
      <c r="Y61">
        <v>50</v>
      </c>
      <c r="Z61">
        <v>5</v>
      </c>
      <c r="AA61">
        <v>1000</v>
      </c>
      <c r="AB61">
        <v>1</v>
      </c>
      <c r="AC61">
        <v>1</v>
      </c>
      <c r="AD61">
        <v>60</v>
      </c>
      <c r="AE61">
        <v>10</v>
      </c>
      <c r="AH61">
        <v>600</v>
      </c>
      <c r="AI61">
        <v>4</v>
      </c>
      <c r="AL61">
        <v>15</v>
      </c>
      <c r="AM61">
        <v>2.5</v>
      </c>
      <c r="AO61">
        <v>15</v>
      </c>
      <c r="AP61">
        <v>2.5</v>
      </c>
      <c r="AX61">
        <v>15</v>
      </c>
      <c r="AY61">
        <v>2.5</v>
      </c>
      <c r="BA61">
        <v>15</v>
      </c>
      <c r="BB61">
        <v>2.5</v>
      </c>
    </row>
    <row r="62" spans="1:55" x14ac:dyDescent="0.3">
      <c r="A62">
        <v>1</v>
      </c>
      <c r="B62" s="1">
        <v>44550</v>
      </c>
      <c r="C62" s="1">
        <v>44596</v>
      </c>
      <c r="D62">
        <v>19</v>
      </c>
      <c r="E62" t="s">
        <v>305</v>
      </c>
      <c r="F62">
        <v>61</v>
      </c>
      <c r="G62" t="s">
        <v>1176</v>
      </c>
      <c r="H62" t="s">
        <v>313</v>
      </c>
      <c r="I62" t="s">
        <v>66</v>
      </c>
      <c r="J62" t="s">
        <v>314</v>
      </c>
      <c r="K62" t="s">
        <v>315</v>
      </c>
      <c r="L62">
        <v>1</v>
      </c>
      <c r="M62">
        <v>1</v>
      </c>
      <c r="N62">
        <v>0</v>
      </c>
      <c r="O62">
        <v>0</v>
      </c>
      <c r="P62">
        <v>0</v>
      </c>
      <c r="Q62" t="s">
        <v>75</v>
      </c>
      <c r="R62" t="s">
        <v>1309</v>
      </c>
      <c r="S62" t="s">
        <v>70</v>
      </c>
      <c r="T62" t="s">
        <v>70</v>
      </c>
      <c r="U62">
        <v>180</v>
      </c>
      <c r="Y62">
        <v>150</v>
      </c>
      <c r="Z62">
        <v>1.25</v>
      </c>
      <c r="AA62">
        <v>12000</v>
      </c>
      <c r="AB62">
        <v>1</v>
      </c>
      <c r="AC62">
        <v>0</v>
      </c>
    </row>
    <row r="63" spans="1:55" x14ac:dyDescent="0.3">
      <c r="A63">
        <v>1</v>
      </c>
      <c r="B63" s="1">
        <v>44550</v>
      </c>
      <c r="C63" s="1">
        <v>44596</v>
      </c>
      <c r="D63">
        <v>19</v>
      </c>
      <c r="E63" t="s">
        <v>305</v>
      </c>
      <c r="F63">
        <v>62</v>
      </c>
      <c r="G63" t="s">
        <v>316</v>
      </c>
      <c r="H63" t="s">
        <v>316</v>
      </c>
      <c r="I63" t="s">
        <v>317</v>
      </c>
      <c r="J63" t="s">
        <v>318</v>
      </c>
      <c r="K63" t="s">
        <v>319</v>
      </c>
      <c r="L63">
        <v>3</v>
      </c>
      <c r="M63">
        <v>3</v>
      </c>
      <c r="N63">
        <v>0</v>
      </c>
      <c r="O63">
        <v>0</v>
      </c>
      <c r="P63">
        <v>0</v>
      </c>
      <c r="Q63" t="s">
        <v>69</v>
      </c>
      <c r="R63" t="s">
        <v>1309</v>
      </c>
      <c r="S63" t="s">
        <v>134</v>
      </c>
      <c r="T63" t="s">
        <v>99</v>
      </c>
      <c r="V63">
        <v>0.04</v>
      </c>
      <c r="Y63">
        <v>120</v>
      </c>
      <c r="Z63">
        <v>8</v>
      </c>
      <c r="AA63">
        <v>1500</v>
      </c>
      <c r="AB63">
        <v>0</v>
      </c>
    </row>
    <row r="64" spans="1:55" x14ac:dyDescent="0.3">
      <c r="A64">
        <v>1</v>
      </c>
      <c r="B64" s="1">
        <v>44550</v>
      </c>
      <c r="C64" s="1">
        <v>44596</v>
      </c>
      <c r="D64">
        <v>20</v>
      </c>
      <c r="E64" t="s">
        <v>320</v>
      </c>
      <c r="F64">
        <v>63</v>
      </c>
      <c r="G64" t="s">
        <v>1177</v>
      </c>
      <c r="H64" t="s">
        <v>321</v>
      </c>
      <c r="I64" t="s">
        <v>66</v>
      </c>
      <c r="J64" t="s">
        <v>322</v>
      </c>
      <c r="K64" t="s">
        <v>323</v>
      </c>
      <c r="L64">
        <v>2</v>
      </c>
      <c r="M64">
        <v>1</v>
      </c>
      <c r="N64">
        <v>1</v>
      </c>
      <c r="O64">
        <v>0</v>
      </c>
      <c r="P64">
        <v>0</v>
      </c>
      <c r="Q64" t="s">
        <v>75</v>
      </c>
      <c r="R64">
        <v>2020</v>
      </c>
      <c r="S64" t="s">
        <v>324</v>
      </c>
      <c r="T64" t="s">
        <v>325</v>
      </c>
      <c r="V64">
        <v>40</v>
      </c>
      <c r="Y64">
        <v>65</v>
      </c>
      <c r="Z64">
        <v>2</v>
      </c>
      <c r="AA64">
        <v>3250</v>
      </c>
      <c r="AB64">
        <v>1</v>
      </c>
      <c r="AC64">
        <v>1</v>
      </c>
      <c r="AD64">
        <v>40</v>
      </c>
      <c r="AE64">
        <v>3</v>
      </c>
      <c r="AF64">
        <v>25</v>
      </c>
      <c r="AH64">
        <v>1333</v>
      </c>
      <c r="AI64">
        <v>1</v>
      </c>
      <c r="BA64">
        <v>40</v>
      </c>
      <c r="BB64">
        <v>3</v>
      </c>
      <c r="BC64">
        <v>25</v>
      </c>
    </row>
    <row r="65" spans="1:57" x14ac:dyDescent="0.3">
      <c r="A65">
        <v>1</v>
      </c>
      <c r="B65" s="1">
        <v>44550</v>
      </c>
      <c r="C65" s="1">
        <v>44596</v>
      </c>
      <c r="D65">
        <v>20</v>
      </c>
      <c r="E65" t="s">
        <v>320</v>
      </c>
      <c r="F65">
        <v>64</v>
      </c>
      <c r="G65" t="s">
        <v>326</v>
      </c>
      <c r="H65" t="s">
        <v>326</v>
      </c>
      <c r="I65" t="s">
        <v>225</v>
      </c>
      <c r="J65" t="s">
        <v>327</v>
      </c>
      <c r="K65" t="s">
        <v>328</v>
      </c>
      <c r="L65">
        <v>2</v>
      </c>
      <c r="M65">
        <v>2</v>
      </c>
      <c r="N65">
        <v>0</v>
      </c>
      <c r="O65">
        <v>0</v>
      </c>
      <c r="P65">
        <v>0</v>
      </c>
      <c r="Q65" t="s">
        <v>75</v>
      </c>
      <c r="R65">
        <v>2020</v>
      </c>
      <c r="S65" t="s">
        <v>70</v>
      </c>
      <c r="T65" t="s">
        <v>70</v>
      </c>
      <c r="U65">
        <v>35</v>
      </c>
      <c r="Y65">
        <v>35</v>
      </c>
      <c r="Z65">
        <v>5</v>
      </c>
      <c r="AA65">
        <v>700</v>
      </c>
      <c r="AB65">
        <v>0</v>
      </c>
    </row>
    <row r="66" spans="1:57" x14ac:dyDescent="0.3">
      <c r="A66">
        <v>1</v>
      </c>
      <c r="B66" s="1">
        <v>44550</v>
      </c>
      <c r="C66" s="1">
        <v>44596</v>
      </c>
      <c r="D66">
        <v>20</v>
      </c>
      <c r="E66" t="s">
        <v>320</v>
      </c>
      <c r="F66">
        <v>65</v>
      </c>
      <c r="G66" t="s">
        <v>329</v>
      </c>
      <c r="H66" t="s">
        <v>329</v>
      </c>
      <c r="I66" t="s">
        <v>66</v>
      </c>
      <c r="J66" t="s">
        <v>330</v>
      </c>
      <c r="K66" t="s">
        <v>331</v>
      </c>
      <c r="L66">
        <v>3</v>
      </c>
      <c r="M66">
        <v>3</v>
      </c>
      <c r="N66">
        <v>0</v>
      </c>
      <c r="O66">
        <v>0</v>
      </c>
      <c r="P66">
        <v>0</v>
      </c>
      <c r="Q66" t="s">
        <v>69</v>
      </c>
      <c r="R66">
        <v>2020</v>
      </c>
      <c r="S66" t="s">
        <v>165</v>
      </c>
      <c r="T66" t="s">
        <v>99</v>
      </c>
      <c r="V66">
        <v>23</v>
      </c>
      <c r="Y66">
        <v>50</v>
      </c>
      <c r="Z66">
        <v>2</v>
      </c>
      <c r="AA66">
        <v>2500</v>
      </c>
      <c r="AB66">
        <v>1</v>
      </c>
      <c r="AC66">
        <v>1</v>
      </c>
      <c r="AD66">
        <v>100</v>
      </c>
      <c r="AE66">
        <v>10</v>
      </c>
      <c r="AH66">
        <v>1000</v>
      </c>
      <c r="AI66">
        <v>5</v>
      </c>
      <c r="AL66">
        <v>20</v>
      </c>
      <c r="AM66">
        <v>2</v>
      </c>
      <c r="AO66">
        <v>20</v>
      </c>
      <c r="AP66">
        <v>2</v>
      </c>
      <c r="AR66">
        <v>20</v>
      </c>
      <c r="AS66">
        <v>2</v>
      </c>
      <c r="AX66">
        <v>20</v>
      </c>
      <c r="AY66">
        <v>2</v>
      </c>
      <c r="BA66">
        <v>20</v>
      </c>
      <c r="BB66">
        <v>2</v>
      </c>
    </row>
    <row r="67" spans="1:57" x14ac:dyDescent="0.3">
      <c r="A67">
        <v>1</v>
      </c>
      <c r="B67" s="1">
        <v>44550</v>
      </c>
      <c r="C67" s="1">
        <v>44596</v>
      </c>
      <c r="D67">
        <v>21</v>
      </c>
      <c r="E67" t="s">
        <v>332</v>
      </c>
      <c r="F67">
        <v>66</v>
      </c>
      <c r="G67" t="s">
        <v>1178</v>
      </c>
      <c r="H67" t="s">
        <v>333</v>
      </c>
      <c r="I67" t="s">
        <v>66</v>
      </c>
      <c r="J67" t="s">
        <v>334</v>
      </c>
      <c r="K67" t="s">
        <v>335</v>
      </c>
      <c r="L67">
        <v>2</v>
      </c>
      <c r="M67">
        <v>1</v>
      </c>
      <c r="N67">
        <v>1</v>
      </c>
      <c r="O67">
        <v>0</v>
      </c>
      <c r="P67">
        <v>0</v>
      </c>
      <c r="Q67" t="s">
        <v>69</v>
      </c>
      <c r="R67">
        <v>2018</v>
      </c>
      <c r="S67" t="s">
        <v>134</v>
      </c>
      <c r="T67" t="s">
        <v>99</v>
      </c>
      <c r="U67">
        <v>360</v>
      </c>
      <c r="V67">
        <v>0.25</v>
      </c>
      <c r="W67">
        <v>69</v>
      </c>
      <c r="Y67">
        <v>100</v>
      </c>
      <c r="Z67">
        <v>8</v>
      </c>
      <c r="AA67">
        <v>1250</v>
      </c>
      <c r="AB67">
        <v>1</v>
      </c>
      <c r="AC67">
        <v>1</v>
      </c>
      <c r="AD67">
        <v>100</v>
      </c>
      <c r="AE67">
        <v>15</v>
      </c>
      <c r="AH67">
        <v>667</v>
      </c>
      <c r="AI67">
        <v>3</v>
      </c>
      <c r="AL67">
        <v>33.33</v>
      </c>
      <c r="AM67">
        <v>5</v>
      </c>
      <c r="AU67">
        <v>33.33</v>
      </c>
      <c r="AV67">
        <v>5</v>
      </c>
      <c r="AX67">
        <v>33.33</v>
      </c>
      <c r="AY67">
        <v>5</v>
      </c>
    </row>
    <row r="68" spans="1:57" x14ac:dyDescent="0.3">
      <c r="A68">
        <v>1</v>
      </c>
      <c r="B68" s="1">
        <v>44550</v>
      </c>
      <c r="C68" s="1">
        <v>44596</v>
      </c>
      <c r="D68">
        <v>21</v>
      </c>
      <c r="E68" t="s">
        <v>332</v>
      </c>
      <c r="F68">
        <v>67</v>
      </c>
      <c r="G68" t="s">
        <v>1179</v>
      </c>
      <c r="H68" t="s">
        <v>336</v>
      </c>
      <c r="I68" t="s">
        <v>317</v>
      </c>
      <c r="J68" t="s">
        <v>337</v>
      </c>
      <c r="K68" t="s">
        <v>338</v>
      </c>
      <c r="L68">
        <v>1</v>
      </c>
      <c r="M68">
        <v>1</v>
      </c>
      <c r="N68">
        <v>0</v>
      </c>
      <c r="O68">
        <v>0</v>
      </c>
      <c r="P68">
        <v>0</v>
      </c>
      <c r="Q68" t="s">
        <v>75</v>
      </c>
      <c r="R68">
        <v>2018</v>
      </c>
      <c r="S68" t="s">
        <v>339</v>
      </c>
      <c r="T68" t="s">
        <v>340</v>
      </c>
      <c r="V68">
        <v>1</v>
      </c>
      <c r="Y68">
        <v>47</v>
      </c>
      <c r="Z68">
        <v>10</v>
      </c>
      <c r="AA68">
        <v>470</v>
      </c>
      <c r="AB68">
        <v>1</v>
      </c>
      <c r="AC68">
        <v>1</v>
      </c>
      <c r="AD68">
        <v>25</v>
      </c>
      <c r="AE68">
        <v>75</v>
      </c>
      <c r="AF68">
        <v>22</v>
      </c>
      <c r="AH68">
        <v>33</v>
      </c>
      <c r="AI68">
        <v>1</v>
      </c>
      <c r="BA68">
        <v>25</v>
      </c>
      <c r="BB68">
        <v>75</v>
      </c>
      <c r="BC68">
        <v>22</v>
      </c>
    </row>
    <row r="69" spans="1:57" x14ac:dyDescent="0.3">
      <c r="A69">
        <v>1</v>
      </c>
      <c r="B69" s="1">
        <v>44550</v>
      </c>
      <c r="C69" s="1">
        <v>44596</v>
      </c>
      <c r="D69">
        <v>21</v>
      </c>
      <c r="E69" t="s">
        <v>332</v>
      </c>
      <c r="F69">
        <v>68</v>
      </c>
      <c r="G69" t="s">
        <v>1180</v>
      </c>
      <c r="H69" t="s">
        <v>341</v>
      </c>
      <c r="I69" t="s">
        <v>79</v>
      </c>
      <c r="J69" t="s">
        <v>342</v>
      </c>
      <c r="K69" t="s">
        <v>343</v>
      </c>
      <c r="L69">
        <v>1</v>
      </c>
      <c r="M69">
        <v>0</v>
      </c>
      <c r="N69">
        <v>1</v>
      </c>
      <c r="O69">
        <v>0</v>
      </c>
      <c r="P69">
        <v>0</v>
      </c>
      <c r="Q69" t="s">
        <v>75</v>
      </c>
      <c r="R69">
        <v>2018</v>
      </c>
      <c r="S69" t="s">
        <v>344</v>
      </c>
      <c r="T69" t="s">
        <v>345</v>
      </c>
      <c r="V69">
        <v>3</v>
      </c>
      <c r="Y69">
        <v>35</v>
      </c>
      <c r="Z69">
        <v>5</v>
      </c>
      <c r="AA69">
        <v>700</v>
      </c>
      <c r="AB69">
        <v>1</v>
      </c>
      <c r="AC69">
        <v>1</v>
      </c>
      <c r="AD69">
        <v>35</v>
      </c>
      <c r="AE69">
        <v>24</v>
      </c>
      <c r="AH69">
        <v>146</v>
      </c>
      <c r="AI69">
        <v>2</v>
      </c>
      <c r="AR69">
        <v>17.5</v>
      </c>
      <c r="AS69">
        <v>12</v>
      </c>
      <c r="AU69">
        <v>17.5</v>
      </c>
      <c r="AV69">
        <v>12</v>
      </c>
    </row>
    <row r="70" spans="1:57" x14ac:dyDescent="0.3">
      <c r="A70">
        <v>1</v>
      </c>
      <c r="B70" s="1">
        <v>44550</v>
      </c>
      <c r="C70" s="1">
        <v>44596</v>
      </c>
      <c r="D70">
        <v>22</v>
      </c>
      <c r="E70" t="s">
        <v>346</v>
      </c>
      <c r="F70">
        <v>69</v>
      </c>
      <c r="G70" t="s">
        <v>1181</v>
      </c>
      <c r="H70" t="s">
        <v>347</v>
      </c>
      <c r="I70" t="s">
        <v>79</v>
      </c>
      <c r="J70" t="s">
        <v>348</v>
      </c>
      <c r="K70" t="s">
        <v>349</v>
      </c>
      <c r="L70">
        <v>3</v>
      </c>
      <c r="M70">
        <v>3</v>
      </c>
      <c r="N70">
        <v>0</v>
      </c>
      <c r="O70">
        <v>0</v>
      </c>
      <c r="P70">
        <v>0</v>
      </c>
      <c r="Q70" t="s">
        <v>69</v>
      </c>
      <c r="R70">
        <v>2019</v>
      </c>
      <c r="S70" t="s">
        <v>155</v>
      </c>
      <c r="T70" t="s">
        <v>156</v>
      </c>
      <c r="V70">
        <v>50</v>
      </c>
      <c r="W70">
        <v>62</v>
      </c>
      <c r="Y70">
        <v>60</v>
      </c>
      <c r="Z70">
        <v>2</v>
      </c>
      <c r="AA70">
        <v>3000</v>
      </c>
      <c r="AB70">
        <v>1</v>
      </c>
      <c r="AC70">
        <v>1</v>
      </c>
      <c r="AD70">
        <v>60</v>
      </c>
      <c r="AE70">
        <v>4</v>
      </c>
      <c r="AH70">
        <v>1500</v>
      </c>
      <c r="AI70">
        <v>3</v>
      </c>
      <c r="AL70">
        <v>20</v>
      </c>
      <c r="AM70">
        <v>1.33</v>
      </c>
      <c r="AR70">
        <v>20</v>
      </c>
      <c r="AS70">
        <v>1.33</v>
      </c>
      <c r="BA70">
        <v>20</v>
      </c>
      <c r="BB70">
        <v>1.33</v>
      </c>
    </row>
    <row r="71" spans="1:57" x14ac:dyDescent="0.3">
      <c r="A71">
        <v>1</v>
      </c>
      <c r="B71" s="1">
        <v>44550</v>
      </c>
      <c r="C71" s="1">
        <v>44596</v>
      </c>
      <c r="D71">
        <v>22</v>
      </c>
      <c r="E71" t="s">
        <v>346</v>
      </c>
      <c r="F71">
        <v>70</v>
      </c>
      <c r="G71" t="s">
        <v>1182</v>
      </c>
      <c r="H71" t="s">
        <v>350</v>
      </c>
      <c r="I71" t="s">
        <v>79</v>
      </c>
      <c r="J71" t="s">
        <v>351</v>
      </c>
      <c r="K71" t="s">
        <v>352</v>
      </c>
      <c r="L71">
        <v>1</v>
      </c>
      <c r="M71">
        <v>0</v>
      </c>
      <c r="N71">
        <v>1</v>
      </c>
      <c r="O71">
        <v>0</v>
      </c>
      <c r="P71">
        <v>0</v>
      </c>
      <c r="Q71" t="s">
        <v>69</v>
      </c>
      <c r="R71" t="s">
        <v>1309</v>
      </c>
      <c r="S71" t="s">
        <v>134</v>
      </c>
      <c r="T71" t="s">
        <v>99</v>
      </c>
      <c r="V71">
        <v>0.75</v>
      </c>
      <c r="W71">
        <v>150</v>
      </c>
      <c r="Y71">
        <v>75</v>
      </c>
      <c r="Z71">
        <v>5</v>
      </c>
      <c r="AA71">
        <v>1500</v>
      </c>
      <c r="AB71">
        <v>0</v>
      </c>
    </row>
    <row r="72" spans="1:57" x14ac:dyDescent="0.3">
      <c r="A72">
        <v>1</v>
      </c>
      <c r="B72" s="1">
        <v>44550</v>
      </c>
      <c r="C72" s="1">
        <v>44596</v>
      </c>
      <c r="D72">
        <v>22</v>
      </c>
      <c r="E72" t="s">
        <v>346</v>
      </c>
      <c r="F72">
        <v>71</v>
      </c>
      <c r="G72" t="s">
        <v>353</v>
      </c>
      <c r="H72" t="s">
        <v>353</v>
      </c>
      <c r="I72" t="s">
        <v>66</v>
      </c>
      <c r="J72" t="s">
        <v>354</v>
      </c>
      <c r="K72" t="s">
        <v>355</v>
      </c>
      <c r="L72">
        <v>2</v>
      </c>
      <c r="M72">
        <v>2</v>
      </c>
      <c r="N72">
        <v>0</v>
      </c>
      <c r="O72">
        <v>0</v>
      </c>
      <c r="P72">
        <v>0</v>
      </c>
      <c r="Q72" t="s">
        <v>69</v>
      </c>
      <c r="R72">
        <v>2018</v>
      </c>
      <c r="S72" t="s">
        <v>134</v>
      </c>
      <c r="T72" t="s">
        <v>99</v>
      </c>
      <c r="U72">
        <v>372</v>
      </c>
      <c r="W72">
        <v>70</v>
      </c>
      <c r="Y72">
        <v>80</v>
      </c>
      <c r="Z72">
        <v>0.5</v>
      </c>
      <c r="AA72">
        <v>16000</v>
      </c>
      <c r="AB72">
        <v>1</v>
      </c>
      <c r="AC72">
        <v>0</v>
      </c>
    </row>
    <row r="73" spans="1:57" x14ac:dyDescent="0.3">
      <c r="A73">
        <v>1</v>
      </c>
      <c r="B73" s="1">
        <v>44550</v>
      </c>
      <c r="C73" s="1">
        <v>44596</v>
      </c>
      <c r="D73">
        <v>22</v>
      </c>
      <c r="E73" t="s">
        <v>346</v>
      </c>
      <c r="F73">
        <v>72</v>
      </c>
      <c r="G73" t="s">
        <v>356</v>
      </c>
      <c r="H73" t="s">
        <v>356</v>
      </c>
      <c r="I73" t="s">
        <v>66</v>
      </c>
      <c r="J73" t="s">
        <v>357</v>
      </c>
      <c r="K73" t="s">
        <v>358</v>
      </c>
      <c r="L73">
        <v>3</v>
      </c>
      <c r="M73">
        <v>3</v>
      </c>
      <c r="N73">
        <v>0</v>
      </c>
      <c r="O73">
        <v>0</v>
      </c>
      <c r="P73">
        <v>0</v>
      </c>
      <c r="Q73" t="s">
        <v>69</v>
      </c>
      <c r="R73">
        <v>2015</v>
      </c>
      <c r="S73" t="s">
        <v>155</v>
      </c>
      <c r="T73" t="s">
        <v>156</v>
      </c>
      <c r="V73">
        <v>1</v>
      </c>
      <c r="W73">
        <v>25</v>
      </c>
      <c r="Y73">
        <v>50</v>
      </c>
      <c r="Z73">
        <v>2</v>
      </c>
      <c r="AA73">
        <v>2500</v>
      </c>
      <c r="AB73">
        <v>1</v>
      </c>
      <c r="AC73">
        <v>0</v>
      </c>
    </row>
    <row r="74" spans="1:57" x14ac:dyDescent="0.3">
      <c r="A74">
        <v>1</v>
      </c>
      <c r="B74" s="1">
        <v>44550</v>
      </c>
      <c r="C74" s="1">
        <v>44596</v>
      </c>
      <c r="D74">
        <v>23</v>
      </c>
      <c r="E74" t="s">
        <v>359</v>
      </c>
      <c r="F74">
        <v>73</v>
      </c>
      <c r="G74" t="s">
        <v>1183</v>
      </c>
      <c r="H74" t="s">
        <v>360</v>
      </c>
      <c r="I74" t="s">
        <v>66</v>
      </c>
      <c r="J74" t="s">
        <v>361</v>
      </c>
      <c r="K74" t="s">
        <v>362</v>
      </c>
      <c r="L74">
        <v>1</v>
      </c>
      <c r="M74">
        <v>0</v>
      </c>
      <c r="N74">
        <v>1</v>
      </c>
      <c r="O74">
        <v>0</v>
      </c>
      <c r="P74">
        <v>0</v>
      </c>
      <c r="Q74" t="s">
        <v>75</v>
      </c>
      <c r="R74">
        <v>2019</v>
      </c>
      <c r="S74" t="s">
        <v>339</v>
      </c>
      <c r="T74" t="s">
        <v>340</v>
      </c>
      <c r="V74">
        <v>16</v>
      </c>
      <c r="W74">
        <v>34</v>
      </c>
      <c r="Y74">
        <v>100</v>
      </c>
      <c r="Z74">
        <v>5</v>
      </c>
      <c r="AA74">
        <v>2000</v>
      </c>
      <c r="AB74">
        <v>1</v>
      </c>
      <c r="AC74">
        <v>1</v>
      </c>
      <c r="AD74">
        <v>50</v>
      </c>
      <c r="AE74">
        <v>10</v>
      </c>
      <c r="AF74">
        <v>50</v>
      </c>
      <c r="AH74">
        <v>500</v>
      </c>
      <c r="AI74">
        <v>1</v>
      </c>
      <c r="AX74">
        <v>50</v>
      </c>
      <c r="AY74">
        <v>10</v>
      </c>
      <c r="AZ74">
        <v>50</v>
      </c>
    </row>
    <row r="75" spans="1:57" x14ac:dyDescent="0.3">
      <c r="A75">
        <v>1</v>
      </c>
      <c r="B75" s="1">
        <v>44550</v>
      </c>
      <c r="C75" s="1">
        <v>44596</v>
      </c>
      <c r="D75">
        <v>23</v>
      </c>
      <c r="E75" t="s">
        <v>359</v>
      </c>
      <c r="F75">
        <v>74</v>
      </c>
      <c r="G75" t="s">
        <v>1184</v>
      </c>
      <c r="H75" t="s">
        <v>363</v>
      </c>
      <c r="I75" t="s">
        <v>79</v>
      </c>
      <c r="J75" t="s">
        <v>364</v>
      </c>
      <c r="K75" t="s">
        <v>365</v>
      </c>
      <c r="L75">
        <v>1</v>
      </c>
      <c r="M75">
        <v>1</v>
      </c>
      <c r="N75">
        <v>0</v>
      </c>
      <c r="O75">
        <v>0</v>
      </c>
      <c r="P75">
        <v>0</v>
      </c>
      <c r="Q75" t="s">
        <v>75</v>
      </c>
      <c r="R75">
        <v>2014</v>
      </c>
      <c r="S75" t="s">
        <v>134</v>
      </c>
      <c r="T75" t="s">
        <v>99</v>
      </c>
      <c r="V75">
        <v>200</v>
      </c>
      <c r="W75">
        <v>25</v>
      </c>
      <c r="Y75">
        <v>100</v>
      </c>
      <c r="Z75">
        <v>1</v>
      </c>
      <c r="AA75">
        <v>10000</v>
      </c>
      <c r="AB75">
        <v>1</v>
      </c>
      <c r="AC75">
        <v>0</v>
      </c>
    </row>
    <row r="76" spans="1:57" x14ac:dyDescent="0.3">
      <c r="A76">
        <v>1</v>
      </c>
      <c r="B76" s="1">
        <v>44550</v>
      </c>
      <c r="C76" s="1">
        <v>44596</v>
      </c>
      <c r="D76">
        <v>23</v>
      </c>
      <c r="E76" t="s">
        <v>359</v>
      </c>
      <c r="F76">
        <v>75</v>
      </c>
      <c r="G76" t="s">
        <v>1185</v>
      </c>
      <c r="H76" t="s">
        <v>366</v>
      </c>
      <c r="I76" t="s">
        <v>182</v>
      </c>
      <c r="J76" t="s">
        <v>367</v>
      </c>
      <c r="K76" t="s">
        <v>368</v>
      </c>
      <c r="L76">
        <v>2</v>
      </c>
      <c r="M76">
        <v>1</v>
      </c>
      <c r="N76">
        <v>1</v>
      </c>
      <c r="O76">
        <v>0</v>
      </c>
      <c r="P76">
        <v>1</v>
      </c>
      <c r="Q76" t="s">
        <v>69</v>
      </c>
      <c r="R76">
        <v>2018</v>
      </c>
      <c r="S76" t="s">
        <v>143</v>
      </c>
      <c r="T76" t="s">
        <v>144</v>
      </c>
      <c r="U76">
        <v>2500</v>
      </c>
      <c r="V76">
        <v>21</v>
      </c>
      <c r="W76">
        <v>50</v>
      </c>
      <c r="Y76">
        <v>30</v>
      </c>
      <c r="Z76">
        <v>5</v>
      </c>
      <c r="AA76">
        <v>600</v>
      </c>
      <c r="AB76">
        <v>1</v>
      </c>
      <c r="AC76">
        <v>0</v>
      </c>
    </row>
    <row r="77" spans="1:57" x14ac:dyDescent="0.3">
      <c r="A77">
        <v>1</v>
      </c>
      <c r="B77" s="1">
        <v>44550</v>
      </c>
      <c r="C77" s="1">
        <v>44596</v>
      </c>
      <c r="D77">
        <v>23</v>
      </c>
      <c r="E77" t="s">
        <v>359</v>
      </c>
      <c r="F77">
        <v>76</v>
      </c>
      <c r="G77" t="s">
        <v>1186</v>
      </c>
      <c r="H77" t="s">
        <v>369</v>
      </c>
      <c r="I77" t="s">
        <v>79</v>
      </c>
      <c r="J77" t="s">
        <v>370</v>
      </c>
      <c r="K77" t="s">
        <v>371</v>
      </c>
      <c r="L77">
        <v>2</v>
      </c>
      <c r="M77">
        <v>1</v>
      </c>
      <c r="N77">
        <v>1</v>
      </c>
      <c r="O77">
        <v>0</v>
      </c>
      <c r="P77">
        <v>0</v>
      </c>
      <c r="Q77" t="s">
        <v>75</v>
      </c>
      <c r="R77">
        <v>2019</v>
      </c>
      <c r="S77" t="s">
        <v>70</v>
      </c>
      <c r="T77" t="s">
        <v>70</v>
      </c>
      <c r="V77">
        <v>14</v>
      </c>
      <c r="Y77">
        <v>75</v>
      </c>
      <c r="Z77">
        <v>5</v>
      </c>
      <c r="AA77">
        <v>1500</v>
      </c>
      <c r="AB77">
        <v>0</v>
      </c>
    </row>
    <row r="78" spans="1:57" x14ac:dyDescent="0.3">
      <c r="A78">
        <v>1</v>
      </c>
      <c r="B78" s="1">
        <v>44550</v>
      </c>
      <c r="C78" s="1">
        <v>44596</v>
      </c>
      <c r="D78">
        <v>24</v>
      </c>
      <c r="E78" t="s">
        <v>372</v>
      </c>
      <c r="F78">
        <v>77</v>
      </c>
      <c r="G78" t="s">
        <v>1187</v>
      </c>
      <c r="H78" t="s">
        <v>373</v>
      </c>
      <c r="I78" t="s">
        <v>79</v>
      </c>
      <c r="J78" t="s">
        <v>374</v>
      </c>
      <c r="K78" t="s">
        <v>375</v>
      </c>
      <c r="L78">
        <v>1</v>
      </c>
      <c r="M78">
        <v>0</v>
      </c>
      <c r="N78">
        <v>1</v>
      </c>
      <c r="O78">
        <v>0</v>
      </c>
      <c r="P78">
        <v>0</v>
      </c>
      <c r="Q78" t="s">
        <v>75</v>
      </c>
      <c r="R78">
        <v>2021</v>
      </c>
      <c r="S78" t="s">
        <v>134</v>
      </c>
      <c r="T78" t="s">
        <v>99</v>
      </c>
      <c r="V78">
        <v>7</v>
      </c>
      <c r="W78">
        <v>65</v>
      </c>
      <c r="Y78">
        <v>40</v>
      </c>
      <c r="Z78">
        <v>8</v>
      </c>
      <c r="AA78">
        <v>500</v>
      </c>
      <c r="AB78">
        <v>1</v>
      </c>
      <c r="AC78">
        <v>1</v>
      </c>
      <c r="AD78">
        <v>50</v>
      </c>
      <c r="AE78">
        <v>35</v>
      </c>
      <c r="AH78">
        <v>143</v>
      </c>
      <c r="AI78">
        <v>2</v>
      </c>
      <c r="AR78">
        <v>25</v>
      </c>
      <c r="AS78">
        <v>17.5</v>
      </c>
      <c r="BD78">
        <v>25</v>
      </c>
      <c r="BE78">
        <v>17.5</v>
      </c>
    </row>
    <row r="79" spans="1:57" x14ac:dyDescent="0.3">
      <c r="A79">
        <v>1</v>
      </c>
      <c r="B79" s="1">
        <v>44550</v>
      </c>
      <c r="C79" s="1">
        <v>44596</v>
      </c>
      <c r="D79">
        <v>24</v>
      </c>
      <c r="E79" t="s">
        <v>372</v>
      </c>
      <c r="F79">
        <v>78</v>
      </c>
      <c r="G79" t="s">
        <v>376</v>
      </c>
      <c r="H79" t="s">
        <v>376</v>
      </c>
      <c r="I79" t="s">
        <v>95</v>
      </c>
      <c r="J79" t="s">
        <v>377</v>
      </c>
      <c r="L79">
        <v>2</v>
      </c>
      <c r="M79">
        <v>2</v>
      </c>
      <c r="N79">
        <v>0</v>
      </c>
      <c r="O79">
        <v>0</v>
      </c>
      <c r="P79">
        <v>0</v>
      </c>
      <c r="Q79" t="s">
        <v>75</v>
      </c>
      <c r="R79">
        <v>2014</v>
      </c>
      <c r="S79" t="s">
        <v>378</v>
      </c>
      <c r="T79" t="s">
        <v>99</v>
      </c>
      <c r="Y79">
        <v>30</v>
      </c>
      <c r="Z79">
        <v>10</v>
      </c>
      <c r="AA79">
        <v>300</v>
      </c>
      <c r="AB79">
        <v>1</v>
      </c>
      <c r="AC79">
        <v>1</v>
      </c>
      <c r="AD79">
        <v>10</v>
      </c>
      <c r="AE79">
        <v>40</v>
      </c>
      <c r="AF79">
        <v>20</v>
      </c>
      <c r="AH79">
        <v>25</v>
      </c>
      <c r="AI79">
        <v>1</v>
      </c>
      <c r="BA79">
        <v>10</v>
      </c>
      <c r="BB79">
        <v>40</v>
      </c>
      <c r="BC79">
        <v>20</v>
      </c>
    </row>
    <row r="80" spans="1:57" x14ac:dyDescent="0.3">
      <c r="A80">
        <v>1</v>
      </c>
      <c r="B80" s="1">
        <v>44550</v>
      </c>
      <c r="C80" s="1">
        <v>44596</v>
      </c>
      <c r="D80">
        <v>24</v>
      </c>
      <c r="E80" t="s">
        <v>372</v>
      </c>
      <c r="F80">
        <v>79</v>
      </c>
      <c r="G80" t="s">
        <v>1188</v>
      </c>
      <c r="H80" t="s">
        <v>379</v>
      </c>
      <c r="I80" t="s">
        <v>66</v>
      </c>
      <c r="J80" t="s">
        <v>380</v>
      </c>
      <c r="K80" t="s">
        <v>381</v>
      </c>
      <c r="L80">
        <v>2</v>
      </c>
      <c r="M80">
        <v>1</v>
      </c>
      <c r="N80">
        <v>1</v>
      </c>
      <c r="O80">
        <v>0</v>
      </c>
      <c r="P80">
        <v>0</v>
      </c>
      <c r="Q80" t="s">
        <v>69</v>
      </c>
      <c r="R80">
        <v>2019</v>
      </c>
      <c r="S80" t="s">
        <v>195</v>
      </c>
      <c r="T80" t="s">
        <v>196</v>
      </c>
      <c r="V80">
        <v>1.45</v>
      </c>
      <c r="Y80">
        <v>20</v>
      </c>
      <c r="Z80">
        <v>10</v>
      </c>
      <c r="AA80">
        <v>200</v>
      </c>
      <c r="AB80">
        <v>0</v>
      </c>
    </row>
    <row r="81" spans="1:57" x14ac:dyDescent="0.3">
      <c r="A81">
        <v>1</v>
      </c>
      <c r="B81" s="1">
        <v>44550</v>
      </c>
      <c r="C81" s="1">
        <v>44596</v>
      </c>
      <c r="D81">
        <v>25</v>
      </c>
      <c r="E81" t="s">
        <v>382</v>
      </c>
      <c r="F81">
        <v>80</v>
      </c>
      <c r="G81" t="s">
        <v>1189</v>
      </c>
      <c r="H81" t="s">
        <v>383</v>
      </c>
      <c r="I81" t="s">
        <v>268</v>
      </c>
      <c r="J81" t="s">
        <v>384</v>
      </c>
      <c r="K81" t="s">
        <v>385</v>
      </c>
      <c r="L81">
        <v>1</v>
      </c>
      <c r="M81">
        <v>0</v>
      </c>
      <c r="N81">
        <v>1</v>
      </c>
      <c r="O81">
        <v>0</v>
      </c>
      <c r="P81">
        <v>0</v>
      </c>
      <c r="Q81" t="s">
        <v>75</v>
      </c>
      <c r="R81">
        <v>2016</v>
      </c>
      <c r="S81" t="s">
        <v>134</v>
      </c>
      <c r="T81" t="s">
        <v>99</v>
      </c>
      <c r="V81">
        <v>20</v>
      </c>
      <c r="Y81">
        <v>50</v>
      </c>
      <c r="Z81">
        <v>4</v>
      </c>
      <c r="AA81">
        <v>1250</v>
      </c>
      <c r="AB81">
        <v>1</v>
      </c>
      <c r="AC81">
        <v>1</v>
      </c>
      <c r="AD81">
        <v>50</v>
      </c>
      <c r="AE81">
        <v>15</v>
      </c>
      <c r="AH81">
        <v>333</v>
      </c>
      <c r="AI81">
        <v>1</v>
      </c>
      <c r="AR81">
        <v>50</v>
      </c>
      <c r="AS81">
        <v>15</v>
      </c>
    </row>
    <row r="82" spans="1:57" x14ac:dyDescent="0.3">
      <c r="A82">
        <v>1</v>
      </c>
      <c r="B82" s="1">
        <v>44550</v>
      </c>
      <c r="C82" s="1">
        <v>44596</v>
      </c>
      <c r="D82">
        <v>25</v>
      </c>
      <c r="E82" t="s">
        <v>382</v>
      </c>
      <c r="F82">
        <v>81</v>
      </c>
      <c r="G82" t="s">
        <v>1190</v>
      </c>
      <c r="H82" t="s">
        <v>386</v>
      </c>
      <c r="I82" t="s">
        <v>173</v>
      </c>
      <c r="J82" t="s">
        <v>387</v>
      </c>
      <c r="K82" t="s">
        <v>388</v>
      </c>
      <c r="L82">
        <v>4</v>
      </c>
      <c r="M82">
        <v>4</v>
      </c>
      <c r="N82">
        <v>0</v>
      </c>
      <c r="O82">
        <v>0</v>
      </c>
      <c r="P82">
        <v>0</v>
      </c>
      <c r="Q82" t="s">
        <v>75</v>
      </c>
      <c r="R82">
        <v>2016</v>
      </c>
      <c r="S82" t="s">
        <v>389</v>
      </c>
      <c r="T82" t="s">
        <v>390</v>
      </c>
      <c r="U82">
        <v>120</v>
      </c>
      <c r="V82">
        <v>5</v>
      </c>
      <c r="Y82">
        <v>100</v>
      </c>
      <c r="Z82">
        <v>2</v>
      </c>
      <c r="AA82">
        <v>5000</v>
      </c>
      <c r="AB82">
        <v>1</v>
      </c>
      <c r="AC82">
        <v>1</v>
      </c>
      <c r="AD82">
        <v>100</v>
      </c>
      <c r="AE82">
        <v>6</v>
      </c>
      <c r="AH82">
        <v>1667</v>
      </c>
      <c r="AI82">
        <v>5</v>
      </c>
      <c r="AO82">
        <v>20</v>
      </c>
      <c r="AP82">
        <v>1.2</v>
      </c>
      <c r="AR82">
        <v>20</v>
      </c>
      <c r="AS82">
        <v>1.2</v>
      </c>
      <c r="AU82">
        <v>20</v>
      </c>
      <c r="AV82">
        <v>1.2</v>
      </c>
      <c r="BA82">
        <v>20</v>
      </c>
      <c r="BB82">
        <v>1.2</v>
      </c>
      <c r="BD82">
        <v>20</v>
      </c>
      <c r="BE82">
        <v>1.2</v>
      </c>
    </row>
    <row r="83" spans="1:57" x14ac:dyDescent="0.3">
      <c r="A83">
        <v>1</v>
      </c>
      <c r="B83" s="1">
        <v>44550</v>
      </c>
      <c r="C83" s="1">
        <v>44596</v>
      </c>
      <c r="D83">
        <v>25</v>
      </c>
      <c r="E83" t="s">
        <v>382</v>
      </c>
      <c r="F83">
        <v>82</v>
      </c>
      <c r="G83" t="s">
        <v>391</v>
      </c>
      <c r="H83" t="s">
        <v>391</v>
      </c>
      <c r="I83" t="s">
        <v>66</v>
      </c>
      <c r="J83" t="s">
        <v>392</v>
      </c>
      <c r="K83" t="s">
        <v>393</v>
      </c>
      <c r="L83">
        <v>4</v>
      </c>
      <c r="M83">
        <v>4</v>
      </c>
      <c r="N83">
        <v>0</v>
      </c>
      <c r="O83">
        <v>0</v>
      </c>
      <c r="P83">
        <v>0</v>
      </c>
      <c r="Q83" t="s">
        <v>75</v>
      </c>
      <c r="R83">
        <v>2016</v>
      </c>
      <c r="S83" t="s">
        <v>394</v>
      </c>
      <c r="T83" t="s">
        <v>77</v>
      </c>
      <c r="U83">
        <v>1000</v>
      </c>
      <c r="W83">
        <v>38</v>
      </c>
      <c r="Y83">
        <v>150</v>
      </c>
      <c r="Z83">
        <v>2</v>
      </c>
      <c r="AA83">
        <v>7500</v>
      </c>
      <c r="AB83">
        <v>1</v>
      </c>
      <c r="AC83">
        <v>0</v>
      </c>
    </row>
    <row r="84" spans="1:57" x14ac:dyDescent="0.3">
      <c r="A84">
        <v>1</v>
      </c>
      <c r="B84" s="1">
        <v>44550</v>
      </c>
      <c r="C84" s="1">
        <v>44596</v>
      </c>
      <c r="D84">
        <v>26</v>
      </c>
      <c r="E84" t="s">
        <v>395</v>
      </c>
      <c r="F84">
        <v>83</v>
      </c>
      <c r="G84" t="s">
        <v>1191</v>
      </c>
      <c r="H84" t="s">
        <v>396</v>
      </c>
      <c r="I84" t="s">
        <v>79</v>
      </c>
      <c r="J84" t="s">
        <v>397</v>
      </c>
      <c r="K84" t="s">
        <v>398</v>
      </c>
      <c r="L84">
        <v>1</v>
      </c>
      <c r="M84">
        <v>0</v>
      </c>
      <c r="N84">
        <v>1</v>
      </c>
      <c r="O84">
        <v>0</v>
      </c>
      <c r="P84">
        <v>0</v>
      </c>
      <c r="Q84" t="s">
        <v>75</v>
      </c>
      <c r="R84">
        <v>2016</v>
      </c>
      <c r="S84" t="s">
        <v>399</v>
      </c>
      <c r="T84" t="s">
        <v>345</v>
      </c>
      <c r="V84">
        <v>3.5</v>
      </c>
      <c r="Y84">
        <v>50</v>
      </c>
      <c r="Z84">
        <v>8</v>
      </c>
      <c r="AA84">
        <v>625</v>
      </c>
      <c r="AB84">
        <v>1</v>
      </c>
      <c r="AC84">
        <v>1</v>
      </c>
      <c r="AD84">
        <v>50</v>
      </c>
      <c r="AE84">
        <v>50</v>
      </c>
      <c r="AH84">
        <v>100</v>
      </c>
      <c r="AI84">
        <v>1</v>
      </c>
      <c r="BA84">
        <v>50</v>
      </c>
      <c r="BB84">
        <v>50</v>
      </c>
    </row>
    <row r="85" spans="1:57" x14ac:dyDescent="0.3">
      <c r="A85">
        <v>1</v>
      </c>
      <c r="B85" s="1">
        <v>44550</v>
      </c>
      <c r="C85" s="1">
        <v>44596</v>
      </c>
      <c r="D85">
        <v>26</v>
      </c>
      <c r="E85" t="s">
        <v>395</v>
      </c>
      <c r="F85">
        <v>84</v>
      </c>
      <c r="G85" t="s">
        <v>1192</v>
      </c>
      <c r="H85" t="s">
        <v>400</v>
      </c>
      <c r="I85" t="s">
        <v>182</v>
      </c>
      <c r="J85" t="s">
        <v>401</v>
      </c>
      <c r="K85" t="s">
        <v>402</v>
      </c>
      <c r="L85">
        <v>3</v>
      </c>
      <c r="M85">
        <v>3</v>
      </c>
      <c r="N85">
        <v>0</v>
      </c>
      <c r="O85">
        <v>0</v>
      </c>
      <c r="P85">
        <v>0</v>
      </c>
      <c r="Q85" t="s">
        <v>69</v>
      </c>
      <c r="R85">
        <v>2022</v>
      </c>
      <c r="S85" t="s">
        <v>76</v>
      </c>
      <c r="T85" t="s">
        <v>77</v>
      </c>
      <c r="U85">
        <v>0</v>
      </c>
      <c r="Y85">
        <v>50</v>
      </c>
      <c r="Z85">
        <v>10</v>
      </c>
      <c r="AA85">
        <v>500</v>
      </c>
      <c r="AB85">
        <v>0</v>
      </c>
    </row>
    <row r="86" spans="1:57" x14ac:dyDescent="0.3">
      <c r="A86">
        <v>1</v>
      </c>
      <c r="B86" s="1">
        <v>44550</v>
      </c>
      <c r="C86" s="1">
        <v>44596</v>
      </c>
      <c r="D86">
        <v>26</v>
      </c>
      <c r="E86" t="s">
        <v>395</v>
      </c>
      <c r="F86">
        <v>85</v>
      </c>
      <c r="G86" t="s">
        <v>1193</v>
      </c>
      <c r="H86" t="s">
        <v>403</v>
      </c>
      <c r="I86" t="s">
        <v>182</v>
      </c>
      <c r="J86" t="s">
        <v>404</v>
      </c>
      <c r="K86" t="s">
        <v>405</v>
      </c>
      <c r="L86">
        <v>2</v>
      </c>
      <c r="M86">
        <v>2</v>
      </c>
      <c r="N86">
        <v>0</v>
      </c>
      <c r="O86">
        <v>0</v>
      </c>
      <c r="P86">
        <v>0</v>
      </c>
      <c r="Q86" t="s">
        <v>69</v>
      </c>
      <c r="R86">
        <v>2015</v>
      </c>
      <c r="S86" t="s">
        <v>185</v>
      </c>
      <c r="T86" t="s">
        <v>186</v>
      </c>
      <c r="V86">
        <v>12</v>
      </c>
      <c r="Y86">
        <v>65</v>
      </c>
      <c r="Z86">
        <v>1</v>
      </c>
      <c r="AA86">
        <v>6500</v>
      </c>
      <c r="AB86">
        <v>1</v>
      </c>
      <c r="AC86">
        <v>1</v>
      </c>
      <c r="AD86">
        <v>65</v>
      </c>
      <c r="AE86">
        <v>3</v>
      </c>
      <c r="AH86">
        <v>2167</v>
      </c>
      <c r="AI86">
        <v>1</v>
      </c>
      <c r="AO86">
        <v>65</v>
      </c>
      <c r="AP86">
        <v>3</v>
      </c>
    </row>
    <row r="87" spans="1:57" x14ac:dyDescent="0.3">
      <c r="A87">
        <v>1</v>
      </c>
      <c r="B87" s="1">
        <v>44550</v>
      </c>
      <c r="C87" s="1">
        <v>44596</v>
      </c>
      <c r="D87">
        <v>27</v>
      </c>
      <c r="E87" t="s">
        <v>406</v>
      </c>
      <c r="F87">
        <v>86</v>
      </c>
      <c r="G87" t="s">
        <v>1194</v>
      </c>
      <c r="H87" t="s">
        <v>407</v>
      </c>
      <c r="I87" t="s">
        <v>66</v>
      </c>
      <c r="J87" t="s">
        <v>408</v>
      </c>
      <c r="K87" t="s">
        <v>409</v>
      </c>
      <c r="L87">
        <v>1</v>
      </c>
      <c r="M87">
        <v>1</v>
      </c>
      <c r="N87">
        <v>0</v>
      </c>
      <c r="O87">
        <v>0</v>
      </c>
      <c r="P87">
        <v>0</v>
      </c>
      <c r="Q87" t="s">
        <v>75</v>
      </c>
      <c r="R87">
        <v>2018</v>
      </c>
      <c r="S87" t="s">
        <v>410</v>
      </c>
      <c r="T87" t="s">
        <v>77</v>
      </c>
      <c r="U87">
        <v>180</v>
      </c>
      <c r="V87">
        <v>4</v>
      </c>
      <c r="Y87">
        <v>50</v>
      </c>
      <c r="Z87">
        <v>10</v>
      </c>
      <c r="AA87">
        <v>500</v>
      </c>
      <c r="AB87">
        <v>0</v>
      </c>
    </row>
    <row r="88" spans="1:57" x14ac:dyDescent="0.3">
      <c r="A88">
        <v>1</v>
      </c>
      <c r="B88" s="1">
        <v>44550</v>
      </c>
      <c r="C88" s="1">
        <v>44596</v>
      </c>
      <c r="D88">
        <v>27</v>
      </c>
      <c r="E88" t="s">
        <v>406</v>
      </c>
      <c r="F88">
        <v>87</v>
      </c>
      <c r="G88" t="s">
        <v>1195</v>
      </c>
      <c r="H88" t="s">
        <v>411</v>
      </c>
      <c r="I88" t="s">
        <v>173</v>
      </c>
      <c r="J88" t="s">
        <v>412</v>
      </c>
      <c r="K88" t="s">
        <v>413</v>
      </c>
      <c r="L88">
        <v>1</v>
      </c>
      <c r="M88">
        <v>1</v>
      </c>
      <c r="N88">
        <v>0</v>
      </c>
      <c r="O88">
        <v>0</v>
      </c>
      <c r="P88">
        <v>0</v>
      </c>
      <c r="Q88" t="s">
        <v>75</v>
      </c>
      <c r="R88">
        <v>2020</v>
      </c>
      <c r="S88" t="s">
        <v>165</v>
      </c>
      <c r="T88" t="s">
        <v>99</v>
      </c>
      <c r="Y88">
        <v>1.01E-3</v>
      </c>
      <c r="Z88">
        <v>2</v>
      </c>
      <c r="AA88">
        <v>0</v>
      </c>
      <c r="AB88">
        <v>1</v>
      </c>
      <c r="AC88">
        <v>1</v>
      </c>
      <c r="AD88">
        <v>1.01E-3</v>
      </c>
      <c r="AE88">
        <v>4</v>
      </c>
      <c r="AH88">
        <v>0</v>
      </c>
      <c r="AI88">
        <v>4</v>
      </c>
      <c r="AO88">
        <v>2.5250000000000001E-4</v>
      </c>
      <c r="AP88">
        <v>1</v>
      </c>
      <c r="AR88">
        <v>2.5250000000000001E-4</v>
      </c>
      <c r="AS88">
        <v>1</v>
      </c>
      <c r="BA88">
        <v>2.5250000000000001E-4</v>
      </c>
      <c r="BB88">
        <v>1</v>
      </c>
      <c r="BD88">
        <v>2.5250000000000001E-4</v>
      </c>
      <c r="BE88">
        <v>1</v>
      </c>
    </row>
    <row r="89" spans="1:57" x14ac:dyDescent="0.3">
      <c r="A89">
        <v>1</v>
      </c>
      <c r="B89" s="1">
        <v>44550</v>
      </c>
      <c r="C89" s="1">
        <v>44596</v>
      </c>
      <c r="D89">
        <v>27</v>
      </c>
      <c r="E89" t="s">
        <v>406</v>
      </c>
      <c r="F89">
        <v>88</v>
      </c>
      <c r="G89" t="s">
        <v>1196</v>
      </c>
      <c r="H89" t="s">
        <v>414</v>
      </c>
      <c r="I89" t="s">
        <v>225</v>
      </c>
      <c r="J89" t="s">
        <v>415</v>
      </c>
      <c r="K89" t="s">
        <v>416</v>
      </c>
      <c r="L89">
        <v>6</v>
      </c>
      <c r="M89">
        <v>6</v>
      </c>
      <c r="N89">
        <v>0</v>
      </c>
      <c r="O89">
        <v>0</v>
      </c>
      <c r="P89">
        <v>0</v>
      </c>
      <c r="Q89" t="s">
        <v>75</v>
      </c>
      <c r="R89">
        <v>2020</v>
      </c>
      <c r="S89" t="s">
        <v>417</v>
      </c>
      <c r="T89" t="s">
        <v>345</v>
      </c>
      <c r="V89">
        <v>7.5</v>
      </c>
      <c r="W89">
        <v>40</v>
      </c>
      <c r="Y89">
        <v>60</v>
      </c>
      <c r="Z89">
        <v>5</v>
      </c>
      <c r="AA89">
        <v>1200</v>
      </c>
      <c r="AB89">
        <v>1</v>
      </c>
      <c r="AC89">
        <v>0</v>
      </c>
    </row>
    <row r="90" spans="1:57" x14ac:dyDescent="0.3">
      <c r="A90">
        <v>1</v>
      </c>
      <c r="B90" s="1">
        <v>44550</v>
      </c>
      <c r="C90" s="1">
        <v>44596</v>
      </c>
      <c r="D90">
        <v>27</v>
      </c>
      <c r="E90" t="s">
        <v>406</v>
      </c>
      <c r="F90">
        <v>89</v>
      </c>
      <c r="G90" t="s">
        <v>1197</v>
      </c>
      <c r="H90" t="s">
        <v>418</v>
      </c>
      <c r="I90" t="s">
        <v>286</v>
      </c>
      <c r="J90" t="s">
        <v>419</v>
      </c>
      <c r="K90" t="s">
        <v>420</v>
      </c>
      <c r="L90">
        <v>3</v>
      </c>
      <c r="M90">
        <v>2</v>
      </c>
      <c r="N90">
        <v>1</v>
      </c>
      <c r="O90">
        <v>0</v>
      </c>
      <c r="P90">
        <v>0</v>
      </c>
      <c r="Q90" t="s">
        <v>69</v>
      </c>
      <c r="R90">
        <v>2016</v>
      </c>
      <c r="S90" t="s">
        <v>417</v>
      </c>
      <c r="T90" t="s">
        <v>345</v>
      </c>
      <c r="V90">
        <v>22</v>
      </c>
      <c r="Y90">
        <v>100</v>
      </c>
      <c r="Z90">
        <v>1</v>
      </c>
      <c r="AA90">
        <v>10000</v>
      </c>
      <c r="AB90">
        <v>1</v>
      </c>
      <c r="AC90">
        <v>1</v>
      </c>
      <c r="AD90">
        <v>100</v>
      </c>
      <c r="AE90">
        <v>4</v>
      </c>
      <c r="AH90">
        <v>2500</v>
      </c>
      <c r="AI90">
        <v>1</v>
      </c>
      <c r="BA90">
        <v>100</v>
      </c>
      <c r="BB90">
        <v>4</v>
      </c>
    </row>
    <row r="91" spans="1:57" x14ac:dyDescent="0.3">
      <c r="A91">
        <v>1</v>
      </c>
      <c r="B91" s="1">
        <v>44550</v>
      </c>
      <c r="C91" s="1">
        <v>44596</v>
      </c>
      <c r="D91">
        <v>28</v>
      </c>
      <c r="E91" t="s">
        <v>421</v>
      </c>
      <c r="F91">
        <v>90</v>
      </c>
      <c r="G91" t="s">
        <v>1198</v>
      </c>
      <c r="H91" t="s">
        <v>422</v>
      </c>
      <c r="I91" t="s">
        <v>66</v>
      </c>
      <c r="J91" t="s">
        <v>423</v>
      </c>
      <c r="K91" t="s">
        <v>424</v>
      </c>
      <c r="L91">
        <v>3</v>
      </c>
      <c r="M91">
        <v>2</v>
      </c>
      <c r="N91">
        <v>1</v>
      </c>
      <c r="O91">
        <v>0</v>
      </c>
      <c r="P91">
        <v>0</v>
      </c>
      <c r="Q91" t="s">
        <v>69</v>
      </c>
      <c r="R91">
        <v>2017</v>
      </c>
      <c r="S91" t="s">
        <v>165</v>
      </c>
      <c r="T91" t="s">
        <v>99</v>
      </c>
      <c r="U91">
        <v>208</v>
      </c>
      <c r="W91">
        <v>44</v>
      </c>
      <c r="Y91">
        <v>75</v>
      </c>
      <c r="Z91">
        <v>4</v>
      </c>
      <c r="AA91">
        <v>1875</v>
      </c>
      <c r="AB91">
        <v>1</v>
      </c>
      <c r="AC91">
        <v>1</v>
      </c>
      <c r="AD91">
        <v>100</v>
      </c>
      <c r="AE91">
        <v>15</v>
      </c>
      <c r="AH91">
        <v>667</v>
      </c>
      <c r="AI91">
        <v>3</v>
      </c>
      <c r="AU91">
        <v>33.33</v>
      </c>
      <c r="AV91">
        <v>5</v>
      </c>
      <c r="BA91">
        <v>33.33</v>
      </c>
      <c r="BB91">
        <v>5</v>
      </c>
      <c r="BD91">
        <v>33.33</v>
      </c>
      <c r="BE91">
        <v>5</v>
      </c>
    </row>
    <row r="92" spans="1:57" x14ac:dyDescent="0.3">
      <c r="A92">
        <v>1</v>
      </c>
      <c r="B92" s="1">
        <v>44550</v>
      </c>
      <c r="C92" s="1">
        <v>44596</v>
      </c>
      <c r="D92">
        <v>28</v>
      </c>
      <c r="E92" t="s">
        <v>421</v>
      </c>
      <c r="F92">
        <v>91</v>
      </c>
      <c r="G92" t="s">
        <v>1199</v>
      </c>
      <c r="H92" t="s">
        <v>425</v>
      </c>
      <c r="I92" t="s">
        <v>66</v>
      </c>
      <c r="J92" t="s">
        <v>426</v>
      </c>
      <c r="K92" t="s">
        <v>427</v>
      </c>
      <c r="L92">
        <v>2</v>
      </c>
      <c r="M92">
        <v>1</v>
      </c>
      <c r="N92">
        <v>1</v>
      </c>
      <c r="O92">
        <v>0</v>
      </c>
      <c r="P92">
        <v>1</v>
      </c>
      <c r="Q92" t="s">
        <v>75</v>
      </c>
      <c r="R92">
        <v>2018</v>
      </c>
      <c r="S92" t="s">
        <v>428</v>
      </c>
      <c r="T92" t="s">
        <v>87</v>
      </c>
      <c r="U92">
        <v>200</v>
      </c>
      <c r="V92">
        <v>30</v>
      </c>
      <c r="W92">
        <v>30</v>
      </c>
      <c r="Y92">
        <v>90</v>
      </c>
      <c r="Z92">
        <v>5</v>
      </c>
      <c r="AA92">
        <v>1800</v>
      </c>
      <c r="AB92">
        <v>0</v>
      </c>
    </row>
    <row r="93" spans="1:57" x14ac:dyDescent="0.3">
      <c r="A93">
        <v>1</v>
      </c>
      <c r="B93" s="1">
        <v>44550</v>
      </c>
      <c r="C93" s="1">
        <v>44596</v>
      </c>
      <c r="D93">
        <v>28</v>
      </c>
      <c r="E93" t="s">
        <v>421</v>
      </c>
      <c r="F93">
        <v>92</v>
      </c>
      <c r="G93" t="s">
        <v>1200</v>
      </c>
      <c r="H93" t="s">
        <v>429</v>
      </c>
      <c r="I93" t="s">
        <v>182</v>
      </c>
      <c r="J93" t="s">
        <v>430</v>
      </c>
      <c r="K93" t="s">
        <v>431</v>
      </c>
      <c r="L93">
        <v>2</v>
      </c>
      <c r="M93">
        <v>2</v>
      </c>
      <c r="N93">
        <v>0</v>
      </c>
      <c r="O93">
        <v>0</v>
      </c>
      <c r="P93">
        <v>0</v>
      </c>
      <c r="Q93" t="s">
        <v>69</v>
      </c>
      <c r="R93">
        <v>2017</v>
      </c>
      <c r="S93" t="s">
        <v>134</v>
      </c>
      <c r="T93" t="s">
        <v>99</v>
      </c>
      <c r="U93">
        <v>50</v>
      </c>
      <c r="W93">
        <v>25</v>
      </c>
      <c r="Y93">
        <v>50</v>
      </c>
      <c r="Z93">
        <v>5</v>
      </c>
      <c r="AA93">
        <v>1000</v>
      </c>
      <c r="AB93">
        <v>1</v>
      </c>
      <c r="AC93">
        <v>1</v>
      </c>
      <c r="AD93">
        <v>50</v>
      </c>
      <c r="AE93">
        <v>30</v>
      </c>
      <c r="AH93">
        <v>167</v>
      </c>
      <c r="AI93">
        <v>3</v>
      </c>
      <c r="AU93">
        <v>16.66</v>
      </c>
      <c r="AV93">
        <v>10</v>
      </c>
      <c r="BA93">
        <v>16.66</v>
      </c>
      <c r="BB93">
        <v>10</v>
      </c>
      <c r="BD93">
        <v>16.66</v>
      </c>
      <c r="BE93">
        <v>10</v>
      </c>
    </row>
    <row r="94" spans="1:57" x14ac:dyDescent="0.3">
      <c r="A94">
        <v>1</v>
      </c>
      <c r="B94" s="1">
        <v>44550</v>
      </c>
      <c r="C94" s="1">
        <v>44596</v>
      </c>
      <c r="D94">
        <v>29</v>
      </c>
      <c r="E94" t="s">
        <v>432</v>
      </c>
      <c r="F94">
        <v>93</v>
      </c>
      <c r="G94" t="s">
        <v>1201</v>
      </c>
      <c r="H94" t="s">
        <v>433</v>
      </c>
      <c r="I94" t="s">
        <v>66</v>
      </c>
      <c r="J94" t="s">
        <v>434</v>
      </c>
      <c r="K94" t="s">
        <v>435</v>
      </c>
      <c r="L94">
        <v>1</v>
      </c>
      <c r="M94">
        <v>1</v>
      </c>
      <c r="N94">
        <v>0</v>
      </c>
      <c r="O94">
        <v>0</v>
      </c>
      <c r="P94">
        <v>0</v>
      </c>
      <c r="Q94" t="s">
        <v>69</v>
      </c>
      <c r="R94">
        <v>2021</v>
      </c>
      <c r="S94" t="s">
        <v>436</v>
      </c>
      <c r="T94" t="s">
        <v>436</v>
      </c>
      <c r="V94">
        <v>6</v>
      </c>
      <c r="Y94">
        <v>75</v>
      </c>
      <c r="Z94">
        <v>5</v>
      </c>
      <c r="AA94">
        <v>1500</v>
      </c>
      <c r="AB94">
        <v>1</v>
      </c>
      <c r="AC94">
        <v>1</v>
      </c>
      <c r="AD94">
        <v>75</v>
      </c>
      <c r="AE94">
        <v>21</v>
      </c>
      <c r="AH94">
        <v>357</v>
      </c>
      <c r="AI94">
        <v>3</v>
      </c>
      <c r="AO94">
        <v>25</v>
      </c>
      <c r="AP94">
        <v>7</v>
      </c>
      <c r="AU94">
        <v>25</v>
      </c>
      <c r="AV94">
        <v>7</v>
      </c>
      <c r="BD94">
        <v>25</v>
      </c>
      <c r="BE94">
        <v>7</v>
      </c>
    </row>
    <row r="95" spans="1:57" x14ac:dyDescent="0.3">
      <c r="A95">
        <v>1</v>
      </c>
      <c r="B95" s="1">
        <v>44550</v>
      </c>
      <c r="C95" s="1">
        <v>44596</v>
      </c>
      <c r="D95">
        <v>29</v>
      </c>
      <c r="E95" t="s">
        <v>432</v>
      </c>
      <c r="F95">
        <v>94</v>
      </c>
      <c r="G95" t="s">
        <v>437</v>
      </c>
      <c r="H95" t="s">
        <v>437</v>
      </c>
      <c r="I95" t="s">
        <v>182</v>
      </c>
      <c r="J95" t="s">
        <v>438</v>
      </c>
      <c r="K95" t="s">
        <v>439</v>
      </c>
      <c r="L95">
        <v>2</v>
      </c>
      <c r="M95">
        <v>1</v>
      </c>
      <c r="N95">
        <v>1</v>
      </c>
      <c r="O95">
        <v>0</v>
      </c>
      <c r="P95">
        <v>1</v>
      </c>
      <c r="Q95" t="s">
        <v>75</v>
      </c>
      <c r="R95">
        <v>2018</v>
      </c>
      <c r="S95" t="s">
        <v>410</v>
      </c>
      <c r="T95" t="s">
        <v>77</v>
      </c>
      <c r="U95">
        <v>272</v>
      </c>
      <c r="W95">
        <v>30</v>
      </c>
      <c r="Y95">
        <v>75</v>
      </c>
      <c r="Z95">
        <v>3</v>
      </c>
      <c r="AA95">
        <v>2500</v>
      </c>
      <c r="AB95">
        <v>1</v>
      </c>
      <c r="AC95">
        <v>0</v>
      </c>
    </row>
    <row r="96" spans="1:57" x14ac:dyDescent="0.3">
      <c r="A96">
        <v>1</v>
      </c>
      <c r="B96" s="1">
        <v>44550</v>
      </c>
      <c r="C96" s="1">
        <v>44596</v>
      </c>
      <c r="D96">
        <v>29</v>
      </c>
      <c r="E96" t="s">
        <v>432</v>
      </c>
      <c r="F96">
        <v>95</v>
      </c>
      <c r="G96" t="s">
        <v>1202</v>
      </c>
      <c r="H96" t="s">
        <v>440</v>
      </c>
      <c r="I96" t="s">
        <v>286</v>
      </c>
      <c r="J96" t="s">
        <v>441</v>
      </c>
      <c r="K96" t="s">
        <v>442</v>
      </c>
      <c r="L96">
        <v>2</v>
      </c>
      <c r="M96">
        <v>2</v>
      </c>
      <c r="N96">
        <v>0</v>
      </c>
      <c r="O96">
        <v>0</v>
      </c>
      <c r="P96">
        <v>0</v>
      </c>
      <c r="Q96" t="s">
        <v>75</v>
      </c>
      <c r="R96">
        <v>2017</v>
      </c>
      <c r="S96" t="s">
        <v>134</v>
      </c>
      <c r="T96" t="s">
        <v>99</v>
      </c>
      <c r="U96">
        <v>1020</v>
      </c>
      <c r="Y96">
        <v>100</v>
      </c>
      <c r="Z96">
        <v>3.5</v>
      </c>
      <c r="AA96">
        <v>2857</v>
      </c>
      <c r="AB96">
        <v>1</v>
      </c>
      <c r="AC96">
        <v>0</v>
      </c>
    </row>
    <row r="97" spans="1:54" x14ac:dyDescent="0.3">
      <c r="A97">
        <v>1</v>
      </c>
      <c r="B97" s="1">
        <v>44550</v>
      </c>
      <c r="C97" s="1">
        <v>44596</v>
      </c>
      <c r="D97">
        <v>30</v>
      </c>
      <c r="E97" t="s">
        <v>443</v>
      </c>
      <c r="F97">
        <v>96</v>
      </c>
      <c r="G97" t="s">
        <v>444</v>
      </c>
      <c r="H97" t="s">
        <v>444</v>
      </c>
      <c r="I97" t="s">
        <v>182</v>
      </c>
      <c r="J97" t="s">
        <v>445</v>
      </c>
      <c r="K97" t="s">
        <v>446</v>
      </c>
      <c r="L97">
        <v>1</v>
      </c>
      <c r="M97">
        <v>1</v>
      </c>
      <c r="N97">
        <v>0</v>
      </c>
      <c r="O97">
        <v>0</v>
      </c>
      <c r="P97">
        <v>0</v>
      </c>
      <c r="Q97" t="s">
        <v>69</v>
      </c>
      <c r="R97">
        <v>2019</v>
      </c>
      <c r="S97" t="s">
        <v>165</v>
      </c>
      <c r="T97" t="s">
        <v>99</v>
      </c>
      <c r="Y97">
        <v>75</v>
      </c>
      <c r="Z97">
        <v>15</v>
      </c>
      <c r="AA97">
        <v>500</v>
      </c>
      <c r="AB97">
        <v>0</v>
      </c>
    </row>
    <row r="98" spans="1:54" x14ac:dyDescent="0.3">
      <c r="A98">
        <v>1</v>
      </c>
      <c r="B98" s="1">
        <v>44550</v>
      </c>
      <c r="C98" s="1">
        <v>44596</v>
      </c>
      <c r="D98">
        <v>30</v>
      </c>
      <c r="E98" t="s">
        <v>443</v>
      </c>
      <c r="F98">
        <v>97</v>
      </c>
      <c r="G98" t="s">
        <v>1203</v>
      </c>
      <c r="H98" t="s">
        <v>447</v>
      </c>
      <c r="I98" t="s">
        <v>448</v>
      </c>
      <c r="J98" t="s">
        <v>449</v>
      </c>
      <c r="K98" t="s">
        <v>450</v>
      </c>
      <c r="L98">
        <v>2</v>
      </c>
      <c r="M98">
        <v>2</v>
      </c>
      <c r="N98">
        <v>0</v>
      </c>
      <c r="O98">
        <v>0</v>
      </c>
      <c r="P98">
        <v>0</v>
      </c>
      <c r="Q98" t="s">
        <v>69</v>
      </c>
      <c r="R98">
        <v>2019</v>
      </c>
      <c r="S98" t="s">
        <v>86</v>
      </c>
      <c r="T98" t="s">
        <v>87</v>
      </c>
      <c r="U98">
        <v>250</v>
      </c>
      <c r="Y98">
        <v>80</v>
      </c>
      <c r="Z98">
        <v>1</v>
      </c>
      <c r="AA98">
        <v>8000</v>
      </c>
      <c r="AB98">
        <v>1</v>
      </c>
      <c r="AC98">
        <v>1</v>
      </c>
      <c r="AD98">
        <v>80</v>
      </c>
      <c r="AE98">
        <v>6</v>
      </c>
      <c r="AH98">
        <v>1333</v>
      </c>
      <c r="AI98">
        <v>2</v>
      </c>
      <c r="AO98">
        <v>40</v>
      </c>
      <c r="AP98">
        <v>3</v>
      </c>
      <c r="AU98">
        <v>40</v>
      </c>
      <c r="AV98">
        <v>3</v>
      </c>
    </row>
    <row r="99" spans="1:54" x14ac:dyDescent="0.3">
      <c r="A99">
        <v>1</v>
      </c>
      <c r="B99" s="1">
        <v>44550</v>
      </c>
      <c r="C99" s="1">
        <v>44596</v>
      </c>
      <c r="D99">
        <v>30</v>
      </c>
      <c r="E99" t="s">
        <v>443</v>
      </c>
      <c r="F99">
        <v>98</v>
      </c>
      <c r="G99" t="s">
        <v>1204</v>
      </c>
      <c r="H99" t="s">
        <v>451</v>
      </c>
      <c r="I99" t="s">
        <v>286</v>
      </c>
      <c r="J99" t="s">
        <v>452</v>
      </c>
      <c r="K99" t="s">
        <v>453</v>
      </c>
      <c r="L99">
        <v>2</v>
      </c>
      <c r="M99">
        <v>1</v>
      </c>
      <c r="N99">
        <v>1</v>
      </c>
      <c r="O99">
        <v>0</v>
      </c>
      <c r="P99">
        <v>1</v>
      </c>
      <c r="Q99" t="s">
        <v>75</v>
      </c>
      <c r="R99">
        <v>2019</v>
      </c>
      <c r="S99" t="s">
        <v>86</v>
      </c>
      <c r="T99" t="s">
        <v>87</v>
      </c>
      <c r="U99">
        <v>900</v>
      </c>
      <c r="W99">
        <v>29</v>
      </c>
      <c r="Y99">
        <v>300</v>
      </c>
      <c r="Z99">
        <v>1</v>
      </c>
      <c r="AA99">
        <v>30000</v>
      </c>
      <c r="AB99">
        <v>0</v>
      </c>
    </row>
    <row r="100" spans="1:54" x14ac:dyDescent="0.3">
      <c r="A100">
        <v>1</v>
      </c>
      <c r="B100" s="1">
        <v>44550</v>
      </c>
      <c r="C100" s="1">
        <v>44596</v>
      </c>
      <c r="D100">
        <v>30</v>
      </c>
      <c r="E100" t="s">
        <v>443</v>
      </c>
      <c r="F100">
        <v>99</v>
      </c>
      <c r="G100" t="s">
        <v>454</v>
      </c>
      <c r="H100" t="s">
        <v>454</v>
      </c>
      <c r="I100" t="s">
        <v>89</v>
      </c>
      <c r="J100" t="s">
        <v>455</v>
      </c>
      <c r="K100" t="s">
        <v>456</v>
      </c>
      <c r="L100">
        <v>1</v>
      </c>
      <c r="M100">
        <v>1</v>
      </c>
      <c r="N100">
        <v>0</v>
      </c>
      <c r="O100">
        <v>0</v>
      </c>
      <c r="P100">
        <v>0</v>
      </c>
      <c r="Q100" t="s">
        <v>69</v>
      </c>
      <c r="R100" t="s">
        <v>1309</v>
      </c>
      <c r="S100" t="s">
        <v>86</v>
      </c>
      <c r="T100" t="s">
        <v>87</v>
      </c>
      <c r="U100">
        <v>0</v>
      </c>
      <c r="Y100">
        <v>50</v>
      </c>
      <c r="Z100">
        <v>7.5</v>
      </c>
      <c r="AA100">
        <v>667</v>
      </c>
      <c r="AB100">
        <v>0</v>
      </c>
    </row>
    <row r="101" spans="1:54" x14ac:dyDescent="0.3">
      <c r="A101">
        <v>1</v>
      </c>
      <c r="B101" s="1">
        <v>44550</v>
      </c>
      <c r="C101" s="1">
        <v>44596</v>
      </c>
      <c r="D101">
        <v>31</v>
      </c>
      <c r="E101" t="s">
        <v>457</v>
      </c>
      <c r="F101">
        <v>100</v>
      </c>
      <c r="G101" t="s">
        <v>458</v>
      </c>
      <c r="H101" t="s">
        <v>458</v>
      </c>
      <c r="I101" t="s">
        <v>182</v>
      </c>
      <c r="J101" t="s">
        <v>459</v>
      </c>
      <c r="K101" t="s">
        <v>460</v>
      </c>
      <c r="L101">
        <v>2</v>
      </c>
      <c r="M101">
        <v>0</v>
      </c>
      <c r="N101">
        <v>2</v>
      </c>
      <c r="O101">
        <v>0</v>
      </c>
      <c r="P101">
        <v>0</v>
      </c>
      <c r="Q101" t="s">
        <v>69</v>
      </c>
      <c r="R101">
        <v>2016</v>
      </c>
      <c r="S101" t="s">
        <v>461</v>
      </c>
      <c r="T101" t="s">
        <v>345</v>
      </c>
      <c r="V101">
        <v>2</v>
      </c>
      <c r="Y101">
        <v>50</v>
      </c>
      <c r="Z101">
        <v>10</v>
      </c>
      <c r="AA101">
        <v>500</v>
      </c>
      <c r="AB101">
        <v>0</v>
      </c>
    </row>
    <row r="102" spans="1:54" x14ac:dyDescent="0.3">
      <c r="A102">
        <v>1</v>
      </c>
      <c r="B102" s="1">
        <v>44550</v>
      </c>
      <c r="C102" s="1">
        <v>44596</v>
      </c>
      <c r="D102">
        <v>31</v>
      </c>
      <c r="E102" t="s">
        <v>457</v>
      </c>
      <c r="F102">
        <v>101</v>
      </c>
      <c r="G102" t="s">
        <v>462</v>
      </c>
      <c r="H102" t="s">
        <v>462</v>
      </c>
      <c r="I102" t="s">
        <v>182</v>
      </c>
      <c r="J102" t="s">
        <v>463</v>
      </c>
      <c r="K102" t="s">
        <v>464</v>
      </c>
      <c r="L102">
        <v>2</v>
      </c>
      <c r="M102">
        <v>1</v>
      </c>
      <c r="N102">
        <v>1</v>
      </c>
      <c r="O102">
        <v>0</v>
      </c>
      <c r="P102">
        <v>0</v>
      </c>
      <c r="Q102" t="s">
        <v>75</v>
      </c>
      <c r="R102" t="s">
        <v>1309</v>
      </c>
      <c r="S102" t="s">
        <v>465</v>
      </c>
      <c r="T102" t="s">
        <v>122</v>
      </c>
      <c r="U102">
        <v>0</v>
      </c>
      <c r="Y102">
        <v>60</v>
      </c>
      <c r="Z102">
        <v>2.5</v>
      </c>
      <c r="AA102">
        <v>2400</v>
      </c>
      <c r="AB102">
        <v>0</v>
      </c>
    </row>
    <row r="103" spans="1:54" x14ac:dyDescent="0.3">
      <c r="A103">
        <v>1</v>
      </c>
      <c r="B103" s="1">
        <v>44550</v>
      </c>
      <c r="C103" s="1">
        <v>44596</v>
      </c>
      <c r="D103">
        <v>31</v>
      </c>
      <c r="E103" t="s">
        <v>457</v>
      </c>
      <c r="F103">
        <v>102</v>
      </c>
      <c r="G103" t="s">
        <v>1205</v>
      </c>
      <c r="H103" t="s">
        <v>466</v>
      </c>
      <c r="I103" t="s">
        <v>173</v>
      </c>
      <c r="J103" t="s">
        <v>467</v>
      </c>
      <c r="K103" t="s">
        <v>468</v>
      </c>
      <c r="L103">
        <v>3</v>
      </c>
      <c r="M103">
        <v>3</v>
      </c>
      <c r="N103">
        <v>0</v>
      </c>
      <c r="O103">
        <v>0</v>
      </c>
      <c r="P103">
        <v>0</v>
      </c>
      <c r="Q103" t="s">
        <v>69</v>
      </c>
      <c r="R103">
        <v>2016</v>
      </c>
      <c r="S103" t="s">
        <v>86</v>
      </c>
      <c r="T103" t="s">
        <v>87</v>
      </c>
      <c r="Y103">
        <v>75</v>
      </c>
      <c r="Z103">
        <v>2</v>
      </c>
      <c r="AA103">
        <v>3750</v>
      </c>
      <c r="AB103">
        <v>1</v>
      </c>
      <c r="AC103">
        <v>1</v>
      </c>
      <c r="AD103">
        <v>75</v>
      </c>
      <c r="AE103">
        <v>2.68</v>
      </c>
      <c r="AH103">
        <v>2799</v>
      </c>
      <c r="AI103">
        <v>1</v>
      </c>
      <c r="AX103">
        <v>75</v>
      </c>
      <c r="AY103">
        <v>2.68</v>
      </c>
    </row>
    <row r="104" spans="1:54" x14ac:dyDescent="0.3">
      <c r="A104">
        <v>1</v>
      </c>
      <c r="B104" s="1">
        <v>44550</v>
      </c>
      <c r="C104" s="1">
        <v>44596</v>
      </c>
      <c r="D104">
        <v>31</v>
      </c>
      <c r="E104" t="s">
        <v>457</v>
      </c>
      <c r="F104">
        <v>103</v>
      </c>
      <c r="G104" t="s">
        <v>469</v>
      </c>
      <c r="H104" t="s">
        <v>469</v>
      </c>
      <c r="I104" t="s">
        <v>182</v>
      </c>
      <c r="J104" t="s">
        <v>470</v>
      </c>
      <c r="K104" t="s">
        <v>471</v>
      </c>
      <c r="L104">
        <v>2</v>
      </c>
      <c r="M104">
        <v>1</v>
      </c>
      <c r="N104">
        <v>1</v>
      </c>
      <c r="O104">
        <v>0</v>
      </c>
      <c r="P104">
        <v>1</v>
      </c>
      <c r="Q104" t="s">
        <v>69</v>
      </c>
      <c r="R104">
        <v>2021</v>
      </c>
      <c r="S104" t="s">
        <v>472</v>
      </c>
      <c r="T104" t="s">
        <v>191</v>
      </c>
      <c r="V104">
        <v>18</v>
      </c>
      <c r="Y104">
        <v>75</v>
      </c>
      <c r="Z104">
        <v>3</v>
      </c>
      <c r="AA104">
        <v>2500</v>
      </c>
      <c r="AB104">
        <v>0</v>
      </c>
    </row>
    <row r="105" spans="1:54" x14ac:dyDescent="0.3">
      <c r="A105">
        <v>1</v>
      </c>
      <c r="B105" s="1">
        <v>44550</v>
      </c>
      <c r="C105" s="1">
        <v>44596</v>
      </c>
      <c r="D105">
        <v>32</v>
      </c>
      <c r="E105" t="s">
        <v>473</v>
      </c>
      <c r="F105">
        <v>104</v>
      </c>
      <c r="G105" t="s">
        <v>1206</v>
      </c>
      <c r="H105" t="s">
        <v>474</v>
      </c>
      <c r="I105" t="s">
        <v>286</v>
      </c>
      <c r="J105" t="s">
        <v>475</v>
      </c>
      <c r="K105" t="s">
        <v>476</v>
      </c>
      <c r="L105">
        <v>2</v>
      </c>
      <c r="M105">
        <v>0</v>
      </c>
      <c r="N105">
        <v>2</v>
      </c>
      <c r="O105">
        <v>0</v>
      </c>
      <c r="P105">
        <v>0</v>
      </c>
      <c r="Q105" t="s">
        <v>69</v>
      </c>
      <c r="R105">
        <v>2021</v>
      </c>
      <c r="S105" t="s">
        <v>134</v>
      </c>
      <c r="T105" t="s">
        <v>99</v>
      </c>
      <c r="U105">
        <v>16</v>
      </c>
      <c r="V105">
        <v>10</v>
      </c>
      <c r="W105">
        <v>75</v>
      </c>
      <c r="Y105">
        <v>80</v>
      </c>
      <c r="Z105">
        <v>7</v>
      </c>
      <c r="AA105">
        <v>1143</v>
      </c>
      <c r="AB105">
        <v>0</v>
      </c>
    </row>
    <row r="106" spans="1:54" x14ac:dyDescent="0.3">
      <c r="A106">
        <v>1</v>
      </c>
      <c r="B106" s="1">
        <v>44550</v>
      </c>
      <c r="C106" s="1">
        <v>44596</v>
      </c>
      <c r="D106">
        <v>32</v>
      </c>
      <c r="E106" t="s">
        <v>473</v>
      </c>
      <c r="F106">
        <v>105</v>
      </c>
      <c r="G106" t="s">
        <v>1207</v>
      </c>
      <c r="H106" t="s">
        <v>477</v>
      </c>
      <c r="I106" t="s">
        <v>225</v>
      </c>
      <c r="J106" t="s">
        <v>478</v>
      </c>
      <c r="K106" t="s">
        <v>479</v>
      </c>
      <c r="L106">
        <v>2</v>
      </c>
      <c r="M106">
        <v>2</v>
      </c>
      <c r="N106">
        <v>0</v>
      </c>
      <c r="O106">
        <v>0</v>
      </c>
      <c r="P106">
        <v>0</v>
      </c>
      <c r="Q106" t="s">
        <v>69</v>
      </c>
      <c r="R106">
        <v>2017</v>
      </c>
      <c r="S106" t="s">
        <v>134</v>
      </c>
      <c r="T106" t="s">
        <v>99</v>
      </c>
      <c r="U106">
        <v>100</v>
      </c>
      <c r="Y106">
        <v>200</v>
      </c>
      <c r="Z106">
        <v>4</v>
      </c>
      <c r="AA106">
        <v>5000</v>
      </c>
      <c r="AB106">
        <v>1</v>
      </c>
      <c r="AC106">
        <v>0</v>
      </c>
    </row>
    <row r="107" spans="1:54" x14ac:dyDescent="0.3">
      <c r="A107">
        <v>1</v>
      </c>
      <c r="B107" s="1">
        <v>44550</v>
      </c>
      <c r="C107" s="1">
        <v>44596</v>
      </c>
      <c r="D107">
        <v>32</v>
      </c>
      <c r="E107" t="s">
        <v>473</v>
      </c>
      <c r="F107">
        <v>106</v>
      </c>
      <c r="G107" t="s">
        <v>1208</v>
      </c>
      <c r="H107" t="s">
        <v>480</v>
      </c>
      <c r="I107" t="s">
        <v>225</v>
      </c>
      <c r="J107" t="s">
        <v>481</v>
      </c>
      <c r="K107" t="s">
        <v>482</v>
      </c>
      <c r="L107">
        <v>2</v>
      </c>
      <c r="M107">
        <v>2</v>
      </c>
      <c r="N107">
        <v>0</v>
      </c>
      <c r="O107">
        <v>0</v>
      </c>
      <c r="P107">
        <v>0</v>
      </c>
      <c r="Q107" t="s">
        <v>69</v>
      </c>
      <c r="R107">
        <v>2016</v>
      </c>
      <c r="S107" t="s">
        <v>134</v>
      </c>
      <c r="T107" t="s">
        <v>99</v>
      </c>
      <c r="U107">
        <v>170</v>
      </c>
      <c r="Y107">
        <v>50</v>
      </c>
      <c r="Z107">
        <v>1</v>
      </c>
      <c r="AA107">
        <v>5000</v>
      </c>
      <c r="AB107">
        <v>1</v>
      </c>
      <c r="AC107">
        <v>1</v>
      </c>
      <c r="AD107">
        <v>50</v>
      </c>
      <c r="AE107">
        <v>2</v>
      </c>
      <c r="AH107">
        <v>2500</v>
      </c>
      <c r="AI107">
        <v>1</v>
      </c>
      <c r="AX107">
        <v>50</v>
      </c>
      <c r="AY107">
        <v>2</v>
      </c>
    </row>
    <row r="108" spans="1:54" x14ac:dyDescent="0.3">
      <c r="A108">
        <v>1</v>
      </c>
      <c r="B108" s="1">
        <v>44550</v>
      </c>
      <c r="C108" s="1">
        <v>44596</v>
      </c>
      <c r="D108">
        <v>32</v>
      </c>
      <c r="E108" t="s">
        <v>473</v>
      </c>
      <c r="F108">
        <v>107</v>
      </c>
      <c r="G108" t="s">
        <v>1209</v>
      </c>
      <c r="H108" t="s">
        <v>483</v>
      </c>
      <c r="I108" t="s">
        <v>173</v>
      </c>
      <c r="J108" t="s">
        <v>484</v>
      </c>
      <c r="K108" t="s">
        <v>485</v>
      </c>
      <c r="L108">
        <v>2</v>
      </c>
      <c r="M108">
        <v>1</v>
      </c>
      <c r="N108">
        <v>1</v>
      </c>
      <c r="O108">
        <v>0</v>
      </c>
      <c r="P108">
        <v>1</v>
      </c>
      <c r="Q108" t="s">
        <v>69</v>
      </c>
      <c r="R108">
        <v>2019</v>
      </c>
      <c r="S108" t="s">
        <v>76</v>
      </c>
      <c r="T108" t="s">
        <v>77</v>
      </c>
      <c r="Y108">
        <v>35</v>
      </c>
      <c r="Z108">
        <v>6</v>
      </c>
      <c r="AA108">
        <v>583</v>
      </c>
      <c r="AB108">
        <v>1</v>
      </c>
      <c r="AC108">
        <v>0</v>
      </c>
    </row>
    <row r="109" spans="1:54" x14ac:dyDescent="0.3">
      <c r="A109">
        <v>1</v>
      </c>
      <c r="B109" s="1">
        <v>44550</v>
      </c>
      <c r="C109" s="1">
        <v>44596</v>
      </c>
      <c r="D109">
        <v>33</v>
      </c>
      <c r="E109" t="s">
        <v>486</v>
      </c>
      <c r="F109">
        <v>108</v>
      </c>
      <c r="G109" t="s">
        <v>1210</v>
      </c>
      <c r="H109" t="s">
        <v>487</v>
      </c>
      <c r="I109" t="s">
        <v>79</v>
      </c>
      <c r="J109" t="s">
        <v>488</v>
      </c>
      <c r="K109" t="s">
        <v>489</v>
      </c>
      <c r="L109">
        <v>2</v>
      </c>
      <c r="M109">
        <v>1</v>
      </c>
      <c r="N109">
        <v>1</v>
      </c>
      <c r="O109">
        <v>0</v>
      </c>
      <c r="P109">
        <v>1</v>
      </c>
      <c r="Q109" t="s">
        <v>69</v>
      </c>
      <c r="R109">
        <v>2017</v>
      </c>
      <c r="S109" t="s">
        <v>134</v>
      </c>
      <c r="T109" t="s">
        <v>99</v>
      </c>
      <c r="V109">
        <v>0.66</v>
      </c>
      <c r="Y109">
        <v>40</v>
      </c>
      <c r="Z109">
        <v>10</v>
      </c>
      <c r="AA109">
        <v>400</v>
      </c>
      <c r="AB109">
        <v>1</v>
      </c>
      <c r="AC109">
        <v>1</v>
      </c>
      <c r="AD109">
        <v>40</v>
      </c>
      <c r="AE109">
        <v>25</v>
      </c>
      <c r="AH109">
        <v>160</v>
      </c>
      <c r="AI109">
        <v>1</v>
      </c>
      <c r="AO109">
        <v>40</v>
      </c>
      <c r="AP109">
        <v>25</v>
      </c>
    </row>
    <row r="110" spans="1:54" x14ac:dyDescent="0.3">
      <c r="A110">
        <v>1</v>
      </c>
      <c r="B110" s="1">
        <v>44550</v>
      </c>
      <c r="C110" s="1">
        <v>44596</v>
      </c>
      <c r="D110">
        <v>33</v>
      </c>
      <c r="E110" t="s">
        <v>486</v>
      </c>
      <c r="F110">
        <v>109</v>
      </c>
      <c r="G110" t="s">
        <v>490</v>
      </c>
      <c r="H110" t="s">
        <v>490</v>
      </c>
      <c r="I110" t="s">
        <v>66</v>
      </c>
      <c r="J110" t="s">
        <v>491</v>
      </c>
      <c r="K110" t="s">
        <v>492</v>
      </c>
      <c r="L110">
        <v>2</v>
      </c>
      <c r="M110">
        <v>1</v>
      </c>
      <c r="N110">
        <v>1</v>
      </c>
      <c r="O110">
        <v>0</v>
      </c>
      <c r="P110">
        <v>1</v>
      </c>
      <c r="Q110" t="s">
        <v>69</v>
      </c>
      <c r="R110">
        <v>2018</v>
      </c>
      <c r="S110" t="s">
        <v>493</v>
      </c>
      <c r="T110" t="s">
        <v>99</v>
      </c>
      <c r="V110">
        <v>2</v>
      </c>
      <c r="Y110">
        <v>40</v>
      </c>
      <c r="Z110">
        <v>5</v>
      </c>
      <c r="AA110">
        <v>800</v>
      </c>
      <c r="AB110">
        <v>0</v>
      </c>
    </row>
    <row r="111" spans="1:54" x14ac:dyDescent="0.3">
      <c r="A111">
        <v>1</v>
      </c>
      <c r="B111" s="1">
        <v>44550</v>
      </c>
      <c r="C111" s="1">
        <v>44596</v>
      </c>
      <c r="D111">
        <v>33</v>
      </c>
      <c r="E111" t="s">
        <v>486</v>
      </c>
      <c r="F111">
        <v>110</v>
      </c>
      <c r="G111" t="s">
        <v>1211</v>
      </c>
      <c r="H111" t="s">
        <v>494</v>
      </c>
      <c r="I111" t="s">
        <v>448</v>
      </c>
      <c r="J111" t="s">
        <v>495</v>
      </c>
      <c r="K111" t="s">
        <v>496</v>
      </c>
      <c r="L111">
        <v>4</v>
      </c>
      <c r="M111">
        <v>4</v>
      </c>
      <c r="N111">
        <v>0</v>
      </c>
      <c r="O111">
        <v>0</v>
      </c>
      <c r="P111">
        <v>0</v>
      </c>
      <c r="Q111" t="s">
        <v>69</v>
      </c>
      <c r="R111">
        <v>2019</v>
      </c>
      <c r="S111" t="s">
        <v>70</v>
      </c>
      <c r="T111" t="s">
        <v>70</v>
      </c>
      <c r="Y111">
        <v>40</v>
      </c>
      <c r="Z111">
        <v>2</v>
      </c>
      <c r="AA111">
        <v>2000</v>
      </c>
      <c r="AB111">
        <v>1</v>
      </c>
      <c r="AC111">
        <v>1</v>
      </c>
      <c r="AD111">
        <v>60</v>
      </c>
      <c r="AE111">
        <v>10</v>
      </c>
      <c r="AH111">
        <v>600</v>
      </c>
      <c r="AI111">
        <v>3</v>
      </c>
      <c r="AL111">
        <v>20</v>
      </c>
      <c r="AM111">
        <v>3.33</v>
      </c>
      <c r="AR111">
        <v>20</v>
      </c>
      <c r="AS111">
        <v>3.33</v>
      </c>
      <c r="BA111">
        <v>20</v>
      </c>
      <c r="BB111">
        <v>3.33</v>
      </c>
    </row>
    <row r="112" spans="1:54" x14ac:dyDescent="0.3">
      <c r="A112">
        <v>1</v>
      </c>
      <c r="B112" s="1">
        <v>44550</v>
      </c>
      <c r="C112" s="1">
        <v>44596</v>
      </c>
      <c r="D112">
        <v>33</v>
      </c>
      <c r="E112" t="s">
        <v>486</v>
      </c>
      <c r="F112">
        <v>111</v>
      </c>
      <c r="G112" t="s">
        <v>497</v>
      </c>
      <c r="H112" t="s">
        <v>497</v>
      </c>
      <c r="I112" t="s">
        <v>225</v>
      </c>
      <c r="J112" t="s">
        <v>498</v>
      </c>
      <c r="K112" t="s">
        <v>499</v>
      </c>
      <c r="L112">
        <v>2</v>
      </c>
      <c r="M112">
        <v>2</v>
      </c>
      <c r="N112">
        <v>0</v>
      </c>
      <c r="O112">
        <v>0</v>
      </c>
      <c r="P112">
        <v>0</v>
      </c>
      <c r="Q112" t="s">
        <v>69</v>
      </c>
      <c r="R112">
        <v>2020</v>
      </c>
      <c r="S112" t="s">
        <v>70</v>
      </c>
      <c r="T112" t="s">
        <v>70</v>
      </c>
      <c r="Y112">
        <v>35</v>
      </c>
      <c r="Z112">
        <v>1</v>
      </c>
      <c r="AA112">
        <v>3500</v>
      </c>
      <c r="AB112">
        <v>1</v>
      </c>
      <c r="AC112">
        <v>1</v>
      </c>
      <c r="AD112">
        <v>100</v>
      </c>
      <c r="AE112">
        <v>10</v>
      </c>
      <c r="AH112">
        <v>1000</v>
      </c>
      <c r="AI112">
        <v>2</v>
      </c>
      <c r="AL112">
        <v>50</v>
      </c>
      <c r="AM112">
        <v>5</v>
      </c>
      <c r="BA112">
        <v>50</v>
      </c>
      <c r="BB112">
        <v>5</v>
      </c>
    </row>
    <row r="113" spans="1:57" x14ac:dyDescent="0.3">
      <c r="A113">
        <v>1</v>
      </c>
      <c r="B113" s="1">
        <v>44550</v>
      </c>
      <c r="C113" s="1">
        <v>44596</v>
      </c>
      <c r="D113">
        <v>34</v>
      </c>
      <c r="E113" t="s">
        <v>500</v>
      </c>
      <c r="F113">
        <v>112</v>
      </c>
      <c r="G113" t="s">
        <v>1212</v>
      </c>
      <c r="H113" t="s">
        <v>501</v>
      </c>
      <c r="I113" t="s">
        <v>66</v>
      </c>
      <c r="J113" t="s">
        <v>502</v>
      </c>
      <c r="K113" t="s">
        <v>503</v>
      </c>
      <c r="L113">
        <v>2</v>
      </c>
      <c r="M113">
        <v>2</v>
      </c>
      <c r="N113">
        <v>0</v>
      </c>
      <c r="O113">
        <v>0</v>
      </c>
      <c r="P113">
        <v>0</v>
      </c>
      <c r="Q113" t="s">
        <v>75</v>
      </c>
      <c r="R113">
        <v>2019</v>
      </c>
      <c r="S113" t="s">
        <v>504</v>
      </c>
      <c r="T113" t="s">
        <v>505</v>
      </c>
      <c r="V113">
        <v>3</v>
      </c>
      <c r="W113">
        <v>70</v>
      </c>
      <c r="Y113">
        <v>40</v>
      </c>
      <c r="Z113">
        <v>10</v>
      </c>
      <c r="AA113">
        <v>400</v>
      </c>
      <c r="AB113">
        <v>1</v>
      </c>
      <c r="AC113">
        <v>1</v>
      </c>
      <c r="AD113">
        <v>40</v>
      </c>
      <c r="AE113">
        <v>20</v>
      </c>
      <c r="AH113">
        <v>200</v>
      </c>
      <c r="AI113">
        <v>4</v>
      </c>
      <c r="AL113">
        <v>10</v>
      </c>
      <c r="AM113">
        <v>5</v>
      </c>
      <c r="AO113">
        <v>10</v>
      </c>
      <c r="AP113">
        <v>5</v>
      </c>
      <c r="AU113">
        <v>10</v>
      </c>
      <c r="AV113">
        <v>5</v>
      </c>
      <c r="BD113">
        <v>10</v>
      </c>
      <c r="BE113">
        <v>5</v>
      </c>
    </row>
    <row r="114" spans="1:57" x14ac:dyDescent="0.3">
      <c r="A114">
        <v>1</v>
      </c>
      <c r="B114" s="1">
        <v>44550</v>
      </c>
      <c r="C114" s="1">
        <v>44596</v>
      </c>
      <c r="D114">
        <v>34</v>
      </c>
      <c r="E114" t="s">
        <v>500</v>
      </c>
      <c r="F114">
        <v>113</v>
      </c>
      <c r="G114" t="s">
        <v>1213</v>
      </c>
      <c r="H114" t="s">
        <v>506</v>
      </c>
      <c r="I114" t="s">
        <v>79</v>
      </c>
      <c r="J114" t="s">
        <v>507</v>
      </c>
      <c r="K114" t="s">
        <v>508</v>
      </c>
      <c r="L114">
        <v>1</v>
      </c>
      <c r="M114">
        <v>0</v>
      </c>
      <c r="N114">
        <v>1</v>
      </c>
      <c r="O114">
        <v>0</v>
      </c>
      <c r="P114">
        <v>0</v>
      </c>
      <c r="Q114" t="s">
        <v>75</v>
      </c>
      <c r="R114">
        <v>2017</v>
      </c>
      <c r="S114" t="s">
        <v>134</v>
      </c>
      <c r="T114" t="s">
        <v>99</v>
      </c>
      <c r="Y114">
        <v>30</v>
      </c>
      <c r="Z114">
        <v>7.5</v>
      </c>
      <c r="AA114">
        <v>400</v>
      </c>
      <c r="AB114">
        <v>0</v>
      </c>
    </row>
    <row r="115" spans="1:57" x14ac:dyDescent="0.3">
      <c r="A115">
        <v>1</v>
      </c>
      <c r="B115" s="1">
        <v>44550</v>
      </c>
      <c r="C115" s="1">
        <v>44596</v>
      </c>
      <c r="D115">
        <v>34</v>
      </c>
      <c r="E115" t="s">
        <v>500</v>
      </c>
      <c r="F115">
        <v>114</v>
      </c>
      <c r="G115" t="s">
        <v>1214</v>
      </c>
      <c r="H115" t="s">
        <v>509</v>
      </c>
      <c r="I115" t="s">
        <v>66</v>
      </c>
      <c r="J115" t="s">
        <v>510</v>
      </c>
      <c r="K115" t="s">
        <v>511</v>
      </c>
      <c r="L115">
        <v>2</v>
      </c>
      <c r="M115">
        <v>1</v>
      </c>
      <c r="N115">
        <v>1</v>
      </c>
      <c r="O115">
        <v>0</v>
      </c>
      <c r="P115">
        <v>1</v>
      </c>
      <c r="Q115" t="s">
        <v>69</v>
      </c>
      <c r="R115">
        <v>2019</v>
      </c>
      <c r="S115" t="s">
        <v>134</v>
      </c>
      <c r="T115" t="s">
        <v>99</v>
      </c>
      <c r="V115">
        <v>12</v>
      </c>
      <c r="W115">
        <v>40</v>
      </c>
      <c r="Y115">
        <v>60</v>
      </c>
      <c r="Z115">
        <v>2</v>
      </c>
      <c r="AA115">
        <v>3000</v>
      </c>
      <c r="AB115">
        <v>1</v>
      </c>
      <c r="AC115">
        <v>0</v>
      </c>
    </row>
    <row r="116" spans="1:57" x14ac:dyDescent="0.3">
      <c r="A116">
        <v>1</v>
      </c>
      <c r="B116" s="1">
        <v>44550</v>
      </c>
      <c r="C116" s="1">
        <v>44596</v>
      </c>
      <c r="D116">
        <v>34</v>
      </c>
      <c r="E116" t="s">
        <v>500</v>
      </c>
      <c r="F116">
        <v>115</v>
      </c>
      <c r="G116" t="s">
        <v>1215</v>
      </c>
      <c r="H116" t="s">
        <v>512</v>
      </c>
      <c r="I116" t="s">
        <v>66</v>
      </c>
      <c r="J116" t="s">
        <v>513</v>
      </c>
      <c r="K116" t="s">
        <v>514</v>
      </c>
      <c r="L116">
        <v>1</v>
      </c>
      <c r="M116">
        <v>1</v>
      </c>
      <c r="N116">
        <v>0</v>
      </c>
      <c r="O116">
        <v>0</v>
      </c>
      <c r="P116">
        <v>0</v>
      </c>
      <c r="Q116" t="s">
        <v>69</v>
      </c>
      <c r="R116" t="s">
        <v>1309</v>
      </c>
      <c r="S116" t="s">
        <v>76</v>
      </c>
      <c r="T116" t="s">
        <v>77</v>
      </c>
      <c r="U116">
        <v>0</v>
      </c>
      <c r="Y116">
        <v>100</v>
      </c>
      <c r="Z116">
        <v>1</v>
      </c>
      <c r="AA116">
        <v>10000</v>
      </c>
      <c r="AB116">
        <v>0</v>
      </c>
    </row>
    <row r="117" spans="1:57" x14ac:dyDescent="0.3">
      <c r="A117">
        <v>1</v>
      </c>
      <c r="B117" s="1">
        <v>44550</v>
      </c>
      <c r="C117" s="1">
        <v>44596</v>
      </c>
      <c r="D117">
        <v>35</v>
      </c>
      <c r="E117" t="s">
        <v>515</v>
      </c>
      <c r="F117">
        <v>116</v>
      </c>
      <c r="G117" t="s">
        <v>1216</v>
      </c>
      <c r="H117" t="s">
        <v>516</v>
      </c>
      <c r="I117" t="s">
        <v>66</v>
      </c>
      <c r="J117" t="s">
        <v>517</v>
      </c>
      <c r="K117" t="s">
        <v>518</v>
      </c>
      <c r="L117">
        <v>1</v>
      </c>
      <c r="M117">
        <v>1</v>
      </c>
      <c r="N117">
        <v>0</v>
      </c>
      <c r="O117">
        <v>0</v>
      </c>
      <c r="P117">
        <v>0</v>
      </c>
      <c r="Q117" t="s">
        <v>69</v>
      </c>
      <c r="R117">
        <v>2017</v>
      </c>
      <c r="S117" t="s">
        <v>519</v>
      </c>
      <c r="T117" t="s">
        <v>345</v>
      </c>
      <c r="V117">
        <v>2</v>
      </c>
      <c r="Y117">
        <v>40</v>
      </c>
      <c r="Z117">
        <v>8</v>
      </c>
      <c r="AA117">
        <v>500</v>
      </c>
      <c r="AB117">
        <v>1</v>
      </c>
      <c r="AC117">
        <v>1</v>
      </c>
      <c r="AD117">
        <v>40</v>
      </c>
      <c r="AE117">
        <v>30</v>
      </c>
      <c r="AH117">
        <v>133</v>
      </c>
      <c r="AI117">
        <v>4</v>
      </c>
      <c r="AL117">
        <v>10</v>
      </c>
      <c r="AM117">
        <v>7.5</v>
      </c>
      <c r="AR117">
        <v>10</v>
      </c>
      <c r="AS117">
        <v>7.5</v>
      </c>
      <c r="AU117">
        <v>10</v>
      </c>
      <c r="AV117">
        <v>7.5</v>
      </c>
      <c r="AX117">
        <v>10</v>
      </c>
      <c r="AY117">
        <v>7.5</v>
      </c>
    </row>
    <row r="118" spans="1:57" x14ac:dyDescent="0.3">
      <c r="A118">
        <v>1</v>
      </c>
      <c r="B118" s="1">
        <v>44550</v>
      </c>
      <c r="C118" s="1">
        <v>44596</v>
      </c>
      <c r="D118">
        <v>35</v>
      </c>
      <c r="E118" t="s">
        <v>515</v>
      </c>
      <c r="F118">
        <v>117</v>
      </c>
      <c r="G118" t="s">
        <v>520</v>
      </c>
      <c r="H118" t="s">
        <v>520</v>
      </c>
      <c r="I118" t="s">
        <v>225</v>
      </c>
      <c r="J118" t="s">
        <v>521</v>
      </c>
      <c r="K118" t="s">
        <v>522</v>
      </c>
      <c r="L118">
        <v>3</v>
      </c>
      <c r="M118">
        <v>1</v>
      </c>
      <c r="N118">
        <v>2</v>
      </c>
      <c r="O118">
        <v>0</v>
      </c>
      <c r="P118">
        <v>0</v>
      </c>
      <c r="Q118" t="s">
        <v>69</v>
      </c>
      <c r="R118">
        <v>2020</v>
      </c>
      <c r="S118" t="s">
        <v>134</v>
      </c>
      <c r="T118" t="s">
        <v>99</v>
      </c>
      <c r="U118">
        <v>108</v>
      </c>
      <c r="Y118">
        <v>50</v>
      </c>
      <c r="Z118">
        <v>4</v>
      </c>
      <c r="AA118">
        <v>1250</v>
      </c>
      <c r="AB118">
        <v>1</v>
      </c>
      <c r="AC118">
        <v>0</v>
      </c>
    </row>
    <row r="119" spans="1:57" x14ac:dyDescent="0.3">
      <c r="A119">
        <v>1</v>
      </c>
      <c r="B119" s="1">
        <v>44550</v>
      </c>
      <c r="C119" s="1">
        <v>44596</v>
      </c>
      <c r="D119">
        <v>35</v>
      </c>
      <c r="E119" t="s">
        <v>515</v>
      </c>
      <c r="F119">
        <v>118</v>
      </c>
      <c r="G119" t="s">
        <v>1217</v>
      </c>
      <c r="H119" t="s">
        <v>523</v>
      </c>
      <c r="I119" t="s">
        <v>173</v>
      </c>
      <c r="J119" t="s">
        <v>524</v>
      </c>
      <c r="K119" t="s">
        <v>525</v>
      </c>
      <c r="L119">
        <v>3</v>
      </c>
      <c r="M119">
        <v>2</v>
      </c>
      <c r="N119">
        <v>1</v>
      </c>
      <c r="O119">
        <v>0</v>
      </c>
      <c r="P119">
        <v>0</v>
      </c>
      <c r="Q119" t="s">
        <v>69</v>
      </c>
      <c r="R119">
        <v>2021</v>
      </c>
      <c r="S119" t="s">
        <v>134</v>
      </c>
      <c r="T119" t="s">
        <v>99</v>
      </c>
      <c r="U119">
        <v>60</v>
      </c>
      <c r="W119">
        <v>30</v>
      </c>
      <c r="Y119">
        <v>100</v>
      </c>
      <c r="Z119">
        <v>2.5</v>
      </c>
      <c r="AA119">
        <v>4000</v>
      </c>
      <c r="AB119">
        <v>0</v>
      </c>
    </row>
    <row r="120" spans="1:57" x14ac:dyDescent="0.3">
      <c r="A120">
        <v>1</v>
      </c>
      <c r="B120" s="1">
        <v>44550</v>
      </c>
      <c r="C120" s="1">
        <v>44596</v>
      </c>
      <c r="D120">
        <v>36</v>
      </c>
      <c r="E120" t="s">
        <v>526</v>
      </c>
      <c r="F120">
        <v>119</v>
      </c>
      <c r="G120" t="s">
        <v>1218</v>
      </c>
      <c r="H120" t="s">
        <v>527</v>
      </c>
      <c r="I120" t="s">
        <v>79</v>
      </c>
      <c r="J120" t="s">
        <v>528</v>
      </c>
      <c r="K120" t="s">
        <v>529</v>
      </c>
      <c r="L120">
        <v>1</v>
      </c>
      <c r="M120">
        <v>1</v>
      </c>
      <c r="N120">
        <v>0</v>
      </c>
      <c r="O120">
        <v>0</v>
      </c>
      <c r="P120">
        <v>0</v>
      </c>
      <c r="Q120" t="s">
        <v>75</v>
      </c>
      <c r="R120">
        <v>2020</v>
      </c>
      <c r="S120" t="s">
        <v>70</v>
      </c>
      <c r="T120" t="s">
        <v>70</v>
      </c>
      <c r="V120">
        <v>7</v>
      </c>
      <c r="Y120">
        <v>20</v>
      </c>
      <c r="Z120">
        <v>5</v>
      </c>
      <c r="AA120">
        <v>400</v>
      </c>
      <c r="AB120">
        <v>1</v>
      </c>
      <c r="AC120">
        <v>1</v>
      </c>
      <c r="AD120">
        <v>21</v>
      </c>
      <c r="AE120">
        <v>12</v>
      </c>
      <c r="AH120">
        <v>175</v>
      </c>
      <c r="AI120">
        <v>3</v>
      </c>
      <c r="AO120">
        <v>7</v>
      </c>
      <c r="AP120">
        <v>4</v>
      </c>
      <c r="AU120">
        <v>7</v>
      </c>
      <c r="AV120">
        <v>4</v>
      </c>
      <c r="AX120">
        <v>7</v>
      </c>
      <c r="AY120">
        <v>4</v>
      </c>
    </row>
    <row r="121" spans="1:57" x14ac:dyDescent="0.3">
      <c r="A121">
        <v>1</v>
      </c>
      <c r="B121" s="1">
        <v>44550</v>
      </c>
      <c r="C121" s="1">
        <v>44596</v>
      </c>
      <c r="D121">
        <v>36</v>
      </c>
      <c r="E121" t="s">
        <v>526</v>
      </c>
      <c r="F121">
        <v>120</v>
      </c>
      <c r="G121" t="s">
        <v>1219</v>
      </c>
      <c r="H121" t="s">
        <v>530</v>
      </c>
      <c r="I121" t="s">
        <v>79</v>
      </c>
      <c r="J121" t="s">
        <v>531</v>
      </c>
      <c r="K121" t="s">
        <v>532</v>
      </c>
      <c r="L121">
        <v>2</v>
      </c>
      <c r="M121">
        <v>2</v>
      </c>
      <c r="N121">
        <v>0</v>
      </c>
      <c r="O121">
        <v>0</v>
      </c>
      <c r="P121">
        <v>0</v>
      </c>
      <c r="Q121" t="s">
        <v>69</v>
      </c>
      <c r="R121">
        <v>2017</v>
      </c>
      <c r="S121" t="s">
        <v>394</v>
      </c>
      <c r="T121" t="s">
        <v>77</v>
      </c>
      <c r="U121">
        <v>7200</v>
      </c>
      <c r="W121">
        <v>70</v>
      </c>
      <c r="Y121">
        <v>150</v>
      </c>
      <c r="Z121">
        <v>0.33</v>
      </c>
      <c r="AA121">
        <v>45455</v>
      </c>
      <c r="AB121">
        <v>1</v>
      </c>
      <c r="AC121">
        <v>0</v>
      </c>
    </row>
    <row r="122" spans="1:57" x14ac:dyDescent="0.3">
      <c r="A122">
        <v>1</v>
      </c>
      <c r="B122" s="1">
        <v>44550</v>
      </c>
      <c r="C122" s="1">
        <v>44596</v>
      </c>
      <c r="D122">
        <v>36</v>
      </c>
      <c r="E122" t="s">
        <v>526</v>
      </c>
      <c r="F122">
        <v>121</v>
      </c>
      <c r="G122" t="s">
        <v>1220</v>
      </c>
      <c r="H122" t="s">
        <v>533</v>
      </c>
      <c r="I122" t="s">
        <v>286</v>
      </c>
      <c r="J122" t="s">
        <v>534</v>
      </c>
      <c r="K122" t="s">
        <v>535</v>
      </c>
      <c r="L122">
        <v>3</v>
      </c>
      <c r="M122">
        <v>2</v>
      </c>
      <c r="N122">
        <v>1</v>
      </c>
      <c r="O122">
        <v>0</v>
      </c>
      <c r="P122">
        <v>1</v>
      </c>
      <c r="Q122" t="s">
        <v>69</v>
      </c>
      <c r="R122">
        <v>2020</v>
      </c>
      <c r="S122" t="s">
        <v>417</v>
      </c>
      <c r="T122" t="s">
        <v>345</v>
      </c>
      <c r="U122">
        <v>100</v>
      </c>
      <c r="Y122">
        <v>100</v>
      </c>
      <c r="Z122">
        <v>1.75</v>
      </c>
      <c r="AA122">
        <v>5714</v>
      </c>
      <c r="AB122">
        <v>1</v>
      </c>
      <c r="AC122">
        <v>1</v>
      </c>
      <c r="AD122">
        <v>50</v>
      </c>
      <c r="AE122">
        <v>4</v>
      </c>
      <c r="AF122">
        <v>50</v>
      </c>
      <c r="AH122">
        <v>1250</v>
      </c>
      <c r="AI122">
        <v>2</v>
      </c>
      <c r="AO122">
        <v>25</v>
      </c>
      <c r="AP122">
        <v>2</v>
      </c>
      <c r="AQ122">
        <v>25</v>
      </c>
      <c r="BA122">
        <v>25</v>
      </c>
      <c r="BB122">
        <v>2</v>
      </c>
      <c r="BC122">
        <v>25</v>
      </c>
    </row>
    <row r="123" spans="1:57" x14ac:dyDescent="0.3">
      <c r="A123">
        <v>1</v>
      </c>
      <c r="B123" s="1">
        <v>44550</v>
      </c>
      <c r="C123" s="1">
        <v>44596</v>
      </c>
      <c r="D123">
        <v>36</v>
      </c>
      <c r="E123" t="s">
        <v>526</v>
      </c>
      <c r="F123">
        <v>122</v>
      </c>
      <c r="G123" t="s">
        <v>536</v>
      </c>
      <c r="H123" t="s">
        <v>536</v>
      </c>
      <c r="I123" t="s">
        <v>225</v>
      </c>
      <c r="J123" t="s">
        <v>537</v>
      </c>
      <c r="K123" t="s">
        <v>538</v>
      </c>
      <c r="L123">
        <v>2</v>
      </c>
      <c r="M123">
        <v>2</v>
      </c>
      <c r="N123">
        <v>0</v>
      </c>
      <c r="O123">
        <v>0</v>
      </c>
      <c r="P123">
        <v>0</v>
      </c>
      <c r="Q123" t="s">
        <v>69</v>
      </c>
      <c r="R123">
        <v>2020</v>
      </c>
      <c r="S123" t="s">
        <v>70</v>
      </c>
      <c r="T123" t="s">
        <v>70</v>
      </c>
      <c r="U123">
        <v>500</v>
      </c>
      <c r="Y123">
        <v>100</v>
      </c>
      <c r="Z123">
        <v>1</v>
      </c>
      <c r="AA123">
        <v>10000</v>
      </c>
      <c r="AB123">
        <v>1</v>
      </c>
      <c r="AC123">
        <v>0</v>
      </c>
    </row>
    <row r="124" spans="1:57" x14ac:dyDescent="0.3">
      <c r="A124">
        <v>2</v>
      </c>
      <c r="B124" s="1">
        <v>44928</v>
      </c>
      <c r="C124" s="1">
        <v>44995</v>
      </c>
      <c r="D124">
        <v>1</v>
      </c>
      <c r="E124" t="s">
        <v>539</v>
      </c>
      <c r="F124">
        <v>153</v>
      </c>
      <c r="G124" t="s">
        <v>540</v>
      </c>
      <c r="H124" t="s">
        <v>540</v>
      </c>
      <c r="I124" t="s">
        <v>286</v>
      </c>
      <c r="J124" t="s">
        <v>541</v>
      </c>
      <c r="K124" t="s">
        <v>542</v>
      </c>
      <c r="L124">
        <v>2</v>
      </c>
      <c r="M124">
        <v>0</v>
      </c>
      <c r="N124">
        <v>2</v>
      </c>
      <c r="O124">
        <v>0</v>
      </c>
      <c r="P124">
        <v>0</v>
      </c>
      <c r="Q124" t="s">
        <v>75</v>
      </c>
      <c r="R124" t="s">
        <v>1309</v>
      </c>
      <c r="S124" t="s">
        <v>543</v>
      </c>
      <c r="T124" t="s">
        <v>87</v>
      </c>
      <c r="V124">
        <v>65</v>
      </c>
      <c r="Y124">
        <v>80</v>
      </c>
      <c r="Z124">
        <v>1</v>
      </c>
      <c r="AA124">
        <v>8000</v>
      </c>
      <c r="AB124">
        <v>1</v>
      </c>
      <c r="AC124">
        <v>1</v>
      </c>
      <c r="AD124">
        <v>100</v>
      </c>
      <c r="AE124">
        <v>2</v>
      </c>
      <c r="AH124">
        <v>5000</v>
      </c>
      <c r="AI124">
        <v>2</v>
      </c>
      <c r="AX124">
        <v>50</v>
      </c>
      <c r="AY124">
        <v>1</v>
      </c>
      <c r="BA124">
        <v>50</v>
      </c>
      <c r="BB124">
        <v>1</v>
      </c>
    </row>
    <row r="125" spans="1:57" x14ac:dyDescent="0.3">
      <c r="A125">
        <v>2</v>
      </c>
      <c r="B125" s="1">
        <v>44928</v>
      </c>
      <c r="C125" s="1">
        <v>44995</v>
      </c>
      <c r="D125">
        <v>1</v>
      </c>
      <c r="E125" t="s">
        <v>539</v>
      </c>
      <c r="F125">
        <v>154</v>
      </c>
      <c r="G125" t="s">
        <v>544</v>
      </c>
      <c r="H125" t="s">
        <v>544</v>
      </c>
      <c r="I125" t="s">
        <v>66</v>
      </c>
      <c r="J125" t="s">
        <v>545</v>
      </c>
      <c r="K125" t="s">
        <v>546</v>
      </c>
      <c r="L125">
        <v>2</v>
      </c>
      <c r="M125">
        <v>2</v>
      </c>
      <c r="N125">
        <v>0</v>
      </c>
      <c r="O125">
        <v>0</v>
      </c>
      <c r="P125">
        <v>0</v>
      </c>
      <c r="Q125" t="s">
        <v>75</v>
      </c>
      <c r="R125" t="s">
        <v>1309</v>
      </c>
      <c r="S125" t="s">
        <v>547</v>
      </c>
      <c r="T125" t="s">
        <v>186</v>
      </c>
      <c r="V125">
        <v>11</v>
      </c>
      <c r="Y125">
        <v>30</v>
      </c>
      <c r="Z125">
        <v>5</v>
      </c>
      <c r="AA125">
        <v>600</v>
      </c>
      <c r="AB125">
        <v>1</v>
      </c>
      <c r="AC125">
        <v>1</v>
      </c>
      <c r="AD125">
        <v>30</v>
      </c>
      <c r="AE125">
        <v>15</v>
      </c>
      <c r="AH125">
        <v>200</v>
      </c>
      <c r="AI125">
        <v>3</v>
      </c>
      <c r="AR125">
        <v>10</v>
      </c>
      <c r="AS125">
        <v>5</v>
      </c>
      <c r="AU125">
        <v>10</v>
      </c>
      <c r="AV125">
        <v>5</v>
      </c>
      <c r="BA125">
        <v>10</v>
      </c>
      <c r="BB125">
        <v>5</v>
      </c>
    </row>
    <row r="126" spans="1:57" x14ac:dyDescent="0.3">
      <c r="A126">
        <v>2</v>
      </c>
      <c r="B126" s="1">
        <v>44928</v>
      </c>
      <c r="C126" s="1">
        <v>44995</v>
      </c>
      <c r="D126">
        <v>1</v>
      </c>
      <c r="E126" t="s">
        <v>539</v>
      </c>
      <c r="F126">
        <v>155</v>
      </c>
      <c r="G126" t="s">
        <v>548</v>
      </c>
      <c r="H126" t="s">
        <v>548</v>
      </c>
      <c r="I126" t="s">
        <v>79</v>
      </c>
      <c r="J126" t="s">
        <v>549</v>
      </c>
      <c r="K126" t="s">
        <v>550</v>
      </c>
      <c r="L126">
        <v>2</v>
      </c>
      <c r="M126">
        <v>2</v>
      </c>
      <c r="N126">
        <v>0</v>
      </c>
      <c r="O126">
        <v>0</v>
      </c>
      <c r="P126">
        <v>0</v>
      </c>
      <c r="Q126" t="s">
        <v>69</v>
      </c>
      <c r="R126" t="s">
        <v>1309</v>
      </c>
      <c r="S126" t="s">
        <v>281</v>
      </c>
      <c r="T126" t="s">
        <v>93</v>
      </c>
      <c r="Y126">
        <v>100</v>
      </c>
      <c r="Z126">
        <v>1</v>
      </c>
      <c r="AA126">
        <v>10000</v>
      </c>
      <c r="AB126">
        <v>0</v>
      </c>
    </row>
    <row r="127" spans="1:57" x14ac:dyDescent="0.3">
      <c r="A127">
        <v>2</v>
      </c>
      <c r="B127" s="1">
        <v>44928</v>
      </c>
      <c r="C127" s="1">
        <v>44995</v>
      </c>
      <c r="D127">
        <v>2</v>
      </c>
      <c r="E127" t="s">
        <v>551</v>
      </c>
      <c r="F127">
        <v>156</v>
      </c>
      <c r="G127" t="s">
        <v>1221</v>
      </c>
      <c r="H127" t="s">
        <v>552</v>
      </c>
      <c r="I127" t="s">
        <v>79</v>
      </c>
      <c r="J127" t="s">
        <v>553</v>
      </c>
      <c r="K127" t="s">
        <v>554</v>
      </c>
      <c r="L127">
        <v>2</v>
      </c>
      <c r="M127">
        <v>1</v>
      </c>
      <c r="N127">
        <v>1</v>
      </c>
      <c r="O127">
        <v>0</v>
      </c>
      <c r="P127">
        <v>1</v>
      </c>
      <c r="Q127" t="s">
        <v>69</v>
      </c>
      <c r="R127">
        <v>2018</v>
      </c>
      <c r="S127" t="s">
        <v>165</v>
      </c>
      <c r="T127" t="s">
        <v>99</v>
      </c>
      <c r="U127">
        <v>150</v>
      </c>
      <c r="W127">
        <v>35</v>
      </c>
      <c r="Y127">
        <v>50</v>
      </c>
      <c r="Z127">
        <v>3</v>
      </c>
      <c r="AA127">
        <v>1667</v>
      </c>
      <c r="AB127">
        <v>1</v>
      </c>
      <c r="AC127">
        <v>1</v>
      </c>
      <c r="AD127">
        <v>50</v>
      </c>
      <c r="AE127">
        <v>10</v>
      </c>
      <c r="AH127">
        <v>500</v>
      </c>
      <c r="AI127">
        <v>2</v>
      </c>
      <c r="AO127">
        <v>25</v>
      </c>
      <c r="AP127">
        <v>5</v>
      </c>
      <c r="AX127">
        <v>25</v>
      </c>
      <c r="AY127">
        <v>5</v>
      </c>
    </row>
    <row r="128" spans="1:57" x14ac:dyDescent="0.3">
      <c r="A128">
        <v>2</v>
      </c>
      <c r="B128" s="1">
        <v>44928</v>
      </c>
      <c r="C128" s="1">
        <v>44995</v>
      </c>
      <c r="D128">
        <v>2</v>
      </c>
      <c r="E128" t="s">
        <v>551</v>
      </c>
      <c r="F128">
        <v>157</v>
      </c>
      <c r="G128" t="s">
        <v>1222</v>
      </c>
      <c r="H128" t="s">
        <v>555</v>
      </c>
      <c r="I128" t="s">
        <v>253</v>
      </c>
      <c r="J128" t="s">
        <v>556</v>
      </c>
      <c r="K128" t="s">
        <v>557</v>
      </c>
      <c r="L128">
        <v>2</v>
      </c>
      <c r="M128">
        <v>2</v>
      </c>
      <c r="N128">
        <v>0</v>
      </c>
      <c r="O128">
        <v>0</v>
      </c>
      <c r="P128">
        <v>0</v>
      </c>
      <c r="Q128" t="s">
        <v>75</v>
      </c>
      <c r="R128">
        <v>2021</v>
      </c>
      <c r="S128" t="s">
        <v>493</v>
      </c>
      <c r="T128" t="s">
        <v>99</v>
      </c>
      <c r="V128">
        <v>25</v>
      </c>
      <c r="Y128">
        <v>200</v>
      </c>
      <c r="Z128">
        <v>5</v>
      </c>
      <c r="AA128">
        <v>4000</v>
      </c>
      <c r="AB128">
        <v>1</v>
      </c>
      <c r="AC128">
        <v>1</v>
      </c>
      <c r="AD128">
        <v>100</v>
      </c>
      <c r="AE128">
        <v>10</v>
      </c>
      <c r="AF128">
        <v>100</v>
      </c>
      <c r="AH128">
        <v>1000</v>
      </c>
      <c r="AI128">
        <v>2</v>
      </c>
      <c r="AR128">
        <v>50</v>
      </c>
      <c r="AS128">
        <v>5</v>
      </c>
      <c r="AT128">
        <v>50</v>
      </c>
      <c r="AU128">
        <v>50</v>
      </c>
      <c r="AV128">
        <v>5</v>
      </c>
      <c r="AW128">
        <v>50</v>
      </c>
    </row>
    <row r="129" spans="1:55" x14ac:dyDescent="0.3">
      <c r="A129">
        <v>2</v>
      </c>
      <c r="B129" s="1">
        <v>44928</v>
      </c>
      <c r="C129" s="1">
        <v>44995</v>
      </c>
      <c r="D129">
        <v>2</v>
      </c>
      <c r="E129" t="s">
        <v>551</v>
      </c>
      <c r="F129">
        <v>158</v>
      </c>
      <c r="G129" t="s">
        <v>1223</v>
      </c>
      <c r="H129" t="s">
        <v>558</v>
      </c>
      <c r="I129" t="s">
        <v>66</v>
      </c>
      <c r="J129" t="s">
        <v>559</v>
      </c>
      <c r="K129" t="s">
        <v>560</v>
      </c>
      <c r="L129">
        <v>2</v>
      </c>
      <c r="M129">
        <v>2</v>
      </c>
      <c r="N129">
        <v>0</v>
      </c>
      <c r="O129">
        <v>0</v>
      </c>
      <c r="P129">
        <v>0</v>
      </c>
      <c r="Q129" t="s">
        <v>75</v>
      </c>
      <c r="R129" t="s">
        <v>1309</v>
      </c>
      <c r="S129" t="s">
        <v>70</v>
      </c>
      <c r="T129" t="s">
        <v>70</v>
      </c>
      <c r="U129">
        <v>-1</v>
      </c>
      <c r="W129">
        <v>45</v>
      </c>
      <c r="Y129">
        <v>75</v>
      </c>
      <c r="Z129">
        <v>6</v>
      </c>
      <c r="AA129">
        <v>1250</v>
      </c>
      <c r="AB129">
        <v>1</v>
      </c>
      <c r="AC129">
        <v>1</v>
      </c>
      <c r="AD129">
        <v>50</v>
      </c>
      <c r="AE129">
        <v>18</v>
      </c>
      <c r="AF129">
        <v>25</v>
      </c>
      <c r="AH129">
        <v>277.77777780000002</v>
      </c>
      <c r="AI129">
        <v>1</v>
      </c>
      <c r="AU129">
        <v>50</v>
      </c>
      <c r="AV129">
        <v>18</v>
      </c>
      <c r="AW129">
        <v>25</v>
      </c>
    </row>
    <row r="130" spans="1:55" x14ac:dyDescent="0.3">
      <c r="A130">
        <v>2</v>
      </c>
      <c r="B130" s="1">
        <v>44928</v>
      </c>
      <c r="C130" s="1">
        <v>44995</v>
      </c>
      <c r="D130">
        <v>3</v>
      </c>
      <c r="E130" t="s">
        <v>561</v>
      </c>
      <c r="F130">
        <v>159</v>
      </c>
      <c r="G130" t="s">
        <v>562</v>
      </c>
      <c r="H130" t="s">
        <v>562</v>
      </c>
      <c r="I130" t="s">
        <v>66</v>
      </c>
      <c r="J130" t="s">
        <v>563</v>
      </c>
      <c r="K130" t="s">
        <v>564</v>
      </c>
      <c r="L130">
        <v>2</v>
      </c>
      <c r="M130">
        <v>0</v>
      </c>
      <c r="N130">
        <v>2</v>
      </c>
      <c r="O130">
        <v>0</v>
      </c>
      <c r="P130">
        <v>0</v>
      </c>
      <c r="Q130" t="s">
        <v>75</v>
      </c>
      <c r="R130" t="s">
        <v>1309</v>
      </c>
      <c r="S130" t="s">
        <v>70</v>
      </c>
      <c r="T130" t="s">
        <v>70</v>
      </c>
      <c r="Y130">
        <v>75</v>
      </c>
      <c r="Z130">
        <v>3</v>
      </c>
      <c r="AA130">
        <v>2500</v>
      </c>
      <c r="AB130">
        <v>1</v>
      </c>
      <c r="AC130">
        <v>0</v>
      </c>
    </row>
    <row r="131" spans="1:55" x14ac:dyDescent="0.3">
      <c r="A131">
        <v>2</v>
      </c>
      <c r="B131" s="1">
        <v>44928</v>
      </c>
      <c r="C131" s="1">
        <v>44995</v>
      </c>
      <c r="D131">
        <v>3</v>
      </c>
      <c r="E131" t="s">
        <v>561</v>
      </c>
      <c r="F131">
        <v>160</v>
      </c>
      <c r="G131" t="s">
        <v>565</v>
      </c>
      <c r="H131" t="s">
        <v>565</v>
      </c>
      <c r="I131" t="s">
        <v>566</v>
      </c>
      <c r="J131" t="s">
        <v>567</v>
      </c>
      <c r="K131" t="s">
        <v>568</v>
      </c>
      <c r="L131">
        <v>3</v>
      </c>
      <c r="M131">
        <v>3</v>
      </c>
      <c r="N131">
        <v>0</v>
      </c>
      <c r="O131">
        <v>0</v>
      </c>
      <c r="P131">
        <v>0</v>
      </c>
      <c r="Q131" t="s">
        <v>75</v>
      </c>
      <c r="R131" t="s">
        <v>1309</v>
      </c>
      <c r="S131" t="s">
        <v>569</v>
      </c>
      <c r="T131" t="s">
        <v>570</v>
      </c>
      <c r="Y131">
        <v>300</v>
      </c>
      <c r="Z131">
        <v>1</v>
      </c>
      <c r="AA131">
        <v>30000</v>
      </c>
      <c r="AB131">
        <v>1</v>
      </c>
      <c r="AC131">
        <v>1</v>
      </c>
      <c r="AD131">
        <v>150</v>
      </c>
      <c r="AE131">
        <v>0.6</v>
      </c>
      <c r="AF131">
        <v>150</v>
      </c>
      <c r="AH131">
        <v>25000</v>
      </c>
      <c r="AI131">
        <v>3</v>
      </c>
      <c r="AO131">
        <v>50</v>
      </c>
      <c r="AP131">
        <v>0.2</v>
      </c>
      <c r="AQ131">
        <v>50</v>
      </c>
      <c r="AX131">
        <v>50</v>
      </c>
      <c r="AY131">
        <v>0.2</v>
      </c>
      <c r="AZ131">
        <v>50</v>
      </c>
      <c r="BA131">
        <v>50</v>
      </c>
      <c r="BB131">
        <v>0.2</v>
      </c>
      <c r="BC131">
        <v>50</v>
      </c>
    </row>
    <row r="132" spans="1:55" x14ac:dyDescent="0.3">
      <c r="A132">
        <v>2</v>
      </c>
      <c r="B132" s="1">
        <v>44928</v>
      </c>
      <c r="C132" s="1">
        <v>44995</v>
      </c>
      <c r="D132">
        <v>3</v>
      </c>
      <c r="E132" t="s">
        <v>561</v>
      </c>
      <c r="F132">
        <v>161</v>
      </c>
      <c r="G132" t="s">
        <v>571</v>
      </c>
      <c r="H132" t="s">
        <v>571</v>
      </c>
      <c r="I132" t="s">
        <v>79</v>
      </c>
      <c r="J132" t="s">
        <v>572</v>
      </c>
      <c r="K132" t="s">
        <v>573</v>
      </c>
      <c r="L132">
        <v>2</v>
      </c>
      <c r="M132">
        <v>1</v>
      </c>
      <c r="N132">
        <v>1</v>
      </c>
      <c r="O132">
        <v>0</v>
      </c>
      <c r="P132">
        <v>1</v>
      </c>
      <c r="Q132" t="s">
        <v>75</v>
      </c>
      <c r="R132" t="s">
        <v>1309</v>
      </c>
      <c r="S132" t="s">
        <v>134</v>
      </c>
      <c r="T132" t="s">
        <v>99</v>
      </c>
      <c r="Y132">
        <v>20</v>
      </c>
      <c r="Z132">
        <v>10</v>
      </c>
      <c r="AA132">
        <v>200</v>
      </c>
      <c r="AB132">
        <v>1</v>
      </c>
      <c r="AC132">
        <v>1</v>
      </c>
      <c r="AD132">
        <v>20</v>
      </c>
      <c r="AE132">
        <v>20</v>
      </c>
      <c r="AH132">
        <v>100</v>
      </c>
      <c r="AI132">
        <v>1</v>
      </c>
      <c r="AO132">
        <v>20</v>
      </c>
      <c r="AP132">
        <v>20</v>
      </c>
    </row>
    <row r="133" spans="1:55" x14ac:dyDescent="0.3">
      <c r="A133">
        <v>2</v>
      </c>
      <c r="B133" s="1">
        <v>44928</v>
      </c>
      <c r="C133" s="1">
        <v>44995</v>
      </c>
      <c r="D133">
        <v>4</v>
      </c>
      <c r="E133" t="s">
        <v>574</v>
      </c>
      <c r="F133">
        <v>162</v>
      </c>
      <c r="G133" t="s">
        <v>1224</v>
      </c>
      <c r="H133" t="s">
        <v>575</v>
      </c>
      <c r="I133" t="s">
        <v>72</v>
      </c>
      <c r="J133" t="s">
        <v>576</v>
      </c>
      <c r="K133" t="s">
        <v>577</v>
      </c>
      <c r="L133">
        <v>2</v>
      </c>
      <c r="M133">
        <v>2</v>
      </c>
      <c r="N133">
        <v>0</v>
      </c>
      <c r="O133">
        <v>0</v>
      </c>
      <c r="P133">
        <v>0</v>
      </c>
      <c r="Q133" t="s">
        <v>75</v>
      </c>
      <c r="R133" t="s">
        <v>1309</v>
      </c>
      <c r="S133" t="s">
        <v>143</v>
      </c>
      <c r="T133" t="s">
        <v>144</v>
      </c>
      <c r="Y133">
        <v>75</v>
      </c>
      <c r="Z133">
        <v>2</v>
      </c>
      <c r="AA133">
        <v>3750</v>
      </c>
      <c r="AB133">
        <v>1</v>
      </c>
      <c r="AC133">
        <v>1</v>
      </c>
      <c r="AD133">
        <v>100</v>
      </c>
      <c r="AE133">
        <v>6.67</v>
      </c>
      <c r="AH133">
        <v>1499.2503750000001</v>
      </c>
      <c r="AI133">
        <v>2</v>
      </c>
      <c r="AX133">
        <v>50</v>
      </c>
      <c r="AY133">
        <v>3.335</v>
      </c>
      <c r="BA133">
        <v>50</v>
      </c>
      <c r="BB133">
        <v>3.335</v>
      </c>
    </row>
    <row r="134" spans="1:55" x14ac:dyDescent="0.3">
      <c r="A134">
        <v>2</v>
      </c>
      <c r="B134" s="1">
        <v>44928</v>
      </c>
      <c r="C134" s="1">
        <v>44995</v>
      </c>
      <c r="D134">
        <v>4</v>
      </c>
      <c r="E134" t="s">
        <v>574</v>
      </c>
      <c r="F134">
        <v>163</v>
      </c>
      <c r="G134" t="s">
        <v>1225</v>
      </c>
      <c r="H134" t="s">
        <v>578</v>
      </c>
      <c r="I134" t="s">
        <v>66</v>
      </c>
      <c r="J134" t="s">
        <v>579</v>
      </c>
      <c r="K134" t="s">
        <v>580</v>
      </c>
      <c r="L134">
        <v>3</v>
      </c>
      <c r="M134">
        <v>2</v>
      </c>
      <c r="N134">
        <v>1</v>
      </c>
      <c r="O134">
        <v>0</v>
      </c>
      <c r="P134">
        <v>0</v>
      </c>
      <c r="Q134" t="s">
        <v>75</v>
      </c>
      <c r="R134">
        <v>2020</v>
      </c>
      <c r="S134" t="s">
        <v>134</v>
      </c>
      <c r="T134" t="s">
        <v>99</v>
      </c>
      <c r="Y134">
        <v>40</v>
      </c>
      <c r="Z134">
        <v>2.5</v>
      </c>
      <c r="AA134">
        <v>1600</v>
      </c>
      <c r="AB134">
        <v>1</v>
      </c>
      <c r="AC134">
        <v>1</v>
      </c>
      <c r="AD134">
        <v>40</v>
      </c>
      <c r="AE134">
        <v>4</v>
      </c>
      <c r="AH134">
        <v>1000</v>
      </c>
      <c r="AI134">
        <v>2</v>
      </c>
      <c r="AR134">
        <v>20</v>
      </c>
      <c r="AS134">
        <v>2</v>
      </c>
      <c r="BA134">
        <v>20</v>
      </c>
      <c r="BB134">
        <v>2</v>
      </c>
    </row>
    <row r="135" spans="1:55" x14ac:dyDescent="0.3">
      <c r="A135">
        <v>2</v>
      </c>
      <c r="B135" s="1">
        <v>44928</v>
      </c>
      <c r="C135" s="1">
        <v>44995</v>
      </c>
      <c r="D135">
        <v>4</v>
      </c>
      <c r="E135" t="s">
        <v>574</v>
      </c>
      <c r="F135">
        <v>164</v>
      </c>
      <c r="G135" t="s">
        <v>581</v>
      </c>
      <c r="H135" t="s">
        <v>581</v>
      </c>
      <c r="I135" t="s">
        <v>182</v>
      </c>
      <c r="J135" t="s">
        <v>582</v>
      </c>
      <c r="K135" t="s">
        <v>583</v>
      </c>
      <c r="L135">
        <v>2</v>
      </c>
      <c r="M135">
        <v>1</v>
      </c>
      <c r="N135">
        <v>1</v>
      </c>
      <c r="O135">
        <v>0</v>
      </c>
      <c r="P135">
        <v>1</v>
      </c>
      <c r="Q135" t="s">
        <v>69</v>
      </c>
      <c r="R135" t="s">
        <v>1309</v>
      </c>
      <c r="S135" t="s">
        <v>134</v>
      </c>
      <c r="T135" t="s">
        <v>99</v>
      </c>
      <c r="V135">
        <v>12</v>
      </c>
      <c r="W135">
        <v>60</v>
      </c>
      <c r="Y135">
        <v>70</v>
      </c>
      <c r="Z135">
        <v>5</v>
      </c>
      <c r="AA135">
        <v>1400</v>
      </c>
      <c r="AB135">
        <v>1</v>
      </c>
      <c r="AC135">
        <v>1</v>
      </c>
      <c r="AD135">
        <v>35</v>
      </c>
      <c r="AE135">
        <v>5</v>
      </c>
      <c r="AF135">
        <v>35</v>
      </c>
      <c r="AH135">
        <v>700</v>
      </c>
      <c r="AI135">
        <v>1</v>
      </c>
      <c r="AO135">
        <v>35</v>
      </c>
      <c r="AP135">
        <v>5</v>
      </c>
      <c r="AQ135">
        <v>35</v>
      </c>
    </row>
    <row r="136" spans="1:55" x14ac:dyDescent="0.3">
      <c r="A136">
        <v>2</v>
      </c>
      <c r="B136" s="1">
        <v>44928</v>
      </c>
      <c r="C136" s="1">
        <v>44995</v>
      </c>
      <c r="D136">
        <v>5</v>
      </c>
      <c r="E136" t="s">
        <v>584</v>
      </c>
      <c r="F136">
        <v>165</v>
      </c>
      <c r="G136" t="s">
        <v>585</v>
      </c>
      <c r="H136" t="s">
        <v>585</v>
      </c>
      <c r="I136" t="s">
        <v>79</v>
      </c>
      <c r="J136" t="s">
        <v>586</v>
      </c>
      <c r="K136" t="s">
        <v>587</v>
      </c>
      <c r="L136">
        <v>2</v>
      </c>
      <c r="M136">
        <v>1</v>
      </c>
      <c r="N136">
        <v>1</v>
      </c>
      <c r="O136">
        <v>0</v>
      </c>
      <c r="P136">
        <v>1</v>
      </c>
      <c r="Q136" t="s">
        <v>69</v>
      </c>
      <c r="R136" t="s">
        <v>1309</v>
      </c>
      <c r="S136" t="s">
        <v>588</v>
      </c>
      <c r="T136" t="s">
        <v>156</v>
      </c>
      <c r="V136">
        <v>46</v>
      </c>
      <c r="Y136">
        <v>100</v>
      </c>
      <c r="Z136">
        <v>4</v>
      </c>
      <c r="AA136">
        <v>2500</v>
      </c>
      <c r="AB136">
        <v>1</v>
      </c>
      <c r="AC136">
        <v>1</v>
      </c>
      <c r="AD136">
        <v>100</v>
      </c>
      <c r="AE136">
        <v>10</v>
      </c>
      <c r="AH136">
        <v>1000</v>
      </c>
      <c r="AI136">
        <v>2</v>
      </c>
      <c r="AR136">
        <v>50</v>
      </c>
      <c r="AS136">
        <v>5</v>
      </c>
      <c r="AU136">
        <v>50</v>
      </c>
      <c r="AV136">
        <v>5</v>
      </c>
    </row>
    <row r="137" spans="1:55" x14ac:dyDescent="0.3">
      <c r="A137">
        <v>2</v>
      </c>
      <c r="B137" s="1">
        <v>44928</v>
      </c>
      <c r="C137" s="1">
        <v>44995</v>
      </c>
      <c r="D137">
        <v>5</v>
      </c>
      <c r="E137" t="s">
        <v>584</v>
      </c>
      <c r="F137">
        <v>166</v>
      </c>
      <c r="G137" t="s">
        <v>589</v>
      </c>
      <c r="H137" t="s">
        <v>589</v>
      </c>
      <c r="I137" t="s">
        <v>79</v>
      </c>
      <c r="J137" t="s">
        <v>590</v>
      </c>
      <c r="K137" t="s">
        <v>591</v>
      </c>
      <c r="L137">
        <v>1</v>
      </c>
      <c r="M137">
        <v>1</v>
      </c>
      <c r="N137">
        <v>0</v>
      </c>
      <c r="O137">
        <v>0</v>
      </c>
      <c r="P137">
        <v>0</v>
      </c>
      <c r="Q137" t="s">
        <v>69</v>
      </c>
      <c r="R137">
        <v>2019</v>
      </c>
      <c r="S137" t="s">
        <v>86</v>
      </c>
      <c r="T137" t="s">
        <v>87</v>
      </c>
      <c r="U137">
        <v>-1</v>
      </c>
      <c r="Y137">
        <v>75</v>
      </c>
      <c r="Z137">
        <v>3</v>
      </c>
      <c r="AA137">
        <v>2500</v>
      </c>
      <c r="AB137">
        <v>1</v>
      </c>
      <c r="AC137">
        <v>0</v>
      </c>
    </row>
    <row r="138" spans="1:55" x14ac:dyDescent="0.3">
      <c r="A138">
        <v>2</v>
      </c>
      <c r="B138" s="1">
        <v>44928</v>
      </c>
      <c r="C138" s="1">
        <v>44995</v>
      </c>
      <c r="D138">
        <v>5</v>
      </c>
      <c r="E138" t="s">
        <v>584</v>
      </c>
      <c r="F138">
        <v>167</v>
      </c>
      <c r="G138" t="s">
        <v>1226</v>
      </c>
      <c r="H138" t="s">
        <v>592</v>
      </c>
      <c r="I138" t="s">
        <v>79</v>
      </c>
      <c r="J138" t="s">
        <v>593</v>
      </c>
      <c r="K138" t="s">
        <v>594</v>
      </c>
      <c r="L138">
        <v>3</v>
      </c>
      <c r="M138">
        <v>3</v>
      </c>
      <c r="N138">
        <v>0</v>
      </c>
      <c r="O138">
        <v>0</v>
      </c>
      <c r="P138">
        <v>0</v>
      </c>
      <c r="Q138" t="s">
        <v>69</v>
      </c>
      <c r="R138" t="s">
        <v>1309</v>
      </c>
      <c r="S138" t="s">
        <v>70</v>
      </c>
      <c r="T138" t="s">
        <v>70</v>
      </c>
      <c r="V138">
        <v>40</v>
      </c>
      <c r="Y138">
        <v>100</v>
      </c>
      <c r="Z138">
        <v>1</v>
      </c>
      <c r="AA138">
        <v>10000</v>
      </c>
      <c r="AB138">
        <v>0</v>
      </c>
    </row>
    <row r="139" spans="1:55" x14ac:dyDescent="0.3">
      <c r="A139">
        <v>2</v>
      </c>
      <c r="B139" s="1">
        <v>44928</v>
      </c>
      <c r="C139" s="1">
        <v>44995</v>
      </c>
      <c r="D139">
        <v>6</v>
      </c>
      <c r="E139" t="s">
        <v>595</v>
      </c>
      <c r="F139">
        <v>168</v>
      </c>
      <c r="G139" t="s">
        <v>1227</v>
      </c>
      <c r="H139" t="s">
        <v>596</v>
      </c>
      <c r="I139" t="s">
        <v>597</v>
      </c>
      <c r="J139" t="s">
        <v>598</v>
      </c>
      <c r="K139" t="s">
        <v>599</v>
      </c>
      <c r="L139">
        <v>3</v>
      </c>
      <c r="M139">
        <v>2</v>
      </c>
      <c r="N139">
        <v>1</v>
      </c>
      <c r="O139">
        <v>0</v>
      </c>
      <c r="P139">
        <v>0</v>
      </c>
      <c r="Q139" t="s">
        <v>75</v>
      </c>
      <c r="R139" t="s">
        <v>1309</v>
      </c>
      <c r="S139" t="s">
        <v>134</v>
      </c>
      <c r="T139" t="s">
        <v>99</v>
      </c>
      <c r="Y139">
        <v>50</v>
      </c>
      <c r="Z139">
        <v>3</v>
      </c>
      <c r="AA139">
        <v>1666.666667</v>
      </c>
      <c r="AB139">
        <v>1</v>
      </c>
      <c r="AC139">
        <v>1</v>
      </c>
      <c r="AD139">
        <v>50</v>
      </c>
      <c r="AE139">
        <v>8</v>
      </c>
      <c r="AH139">
        <v>625</v>
      </c>
      <c r="AI139">
        <v>4</v>
      </c>
      <c r="AR139">
        <v>12.5</v>
      </c>
      <c r="AS139">
        <v>2</v>
      </c>
      <c r="AU139">
        <v>12.5</v>
      </c>
      <c r="AV139">
        <v>2</v>
      </c>
      <c r="AX139">
        <v>12.5</v>
      </c>
      <c r="AY139">
        <v>2</v>
      </c>
      <c r="BA139">
        <v>12.5</v>
      </c>
      <c r="BB139">
        <v>2</v>
      </c>
    </row>
    <row r="140" spans="1:55" x14ac:dyDescent="0.3">
      <c r="A140">
        <v>2</v>
      </c>
      <c r="B140" s="1">
        <v>44928</v>
      </c>
      <c r="C140" s="1">
        <v>44995</v>
      </c>
      <c r="D140">
        <v>6</v>
      </c>
      <c r="E140" t="s">
        <v>595</v>
      </c>
      <c r="F140">
        <v>169</v>
      </c>
      <c r="G140" t="s">
        <v>600</v>
      </c>
      <c r="H140" t="s">
        <v>600</v>
      </c>
      <c r="I140" t="s">
        <v>286</v>
      </c>
      <c r="J140" t="s">
        <v>601</v>
      </c>
      <c r="K140" t="s">
        <v>602</v>
      </c>
      <c r="L140">
        <v>2</v>
      </c>
      <c r="M140">
        <v>1</v>
      </c>
      <c r="N140">
        <v>1</v>
      </c>
      <c r="O140">
        <v>0</v>
      </c>
      <c r="P140">
        <v>0</v>
      </c>
      <c r="Q140" t="s">
        <v>69</v>
      </c>
      <c r="R140" t="s">
        <v>1309</v>
      </c>
      <c r="S140" t="s">
        <v>603</v>
      </c>
      <c r="T140" t="s">
        <v>604</v>
      </c>
      <c r="Y140">
        <v>100</v>
      </c>
      <c r="Z140">
        <v>0.5</v>
      </c>
      <c r="AA140">
        <v>20000</v>
      </c>
      <c r="AB140">
        <v>1</v>
      </c>
      <c r="AC140">
        <v>1</v>
      </c>
      <c r="AD140">
        <v>100</v>
      </c>
      <c r="AE140">
        <v>2</v>
      </c>
      <c r="AH140">
        <v>5000</v>
      </c>
      <c r="AI140">
        <v>3</v>
      </c>
      <c r="AO140">
        <v>33.33</v>
      </c>
      <c r="AP140">
        <v>0.66600000000000004</v>
      </c>
      <c r="AX140">
        <v>33.33</v>
      </c>
      <c r="AY140">
        <v>0.66600000000000004</v>
      </c>
      <c r="BA140">
        <v>33.33</v>
      </c>
      <c r="BB140">
        <v>0.66600000000000004</v>
      </c>
    </row>
    <row r="141" spans="1:55" x14ac:dyDescent="0.3">
      <c r="A141">
        <v>2</v>
      </c>
      <c r="B141" s="1">
        <v>44928</v>
      </c>
      <c r="C141" s="1">
        <v>44995</v>
      </c>
      <c r="D141">
        <v>6</v>
      </c>
      <c r="E141" t="s">
        <v>595</v>
      </c>
      <c r="F141">
        <v>170</v>
      </c>
      <c r="G141" t="s">
        <v>1228</v>
      </c>
      <c r="H141" t="s">
        <v>605</v>
      </c>
      <c r="I141" t="s">
        <v>66</v>
      </c>
      <c r="J141" t="s">
        <v>606</v>
      </c>
      <c r="K141" t="s">
        <v>607</v>
      </c>
      <c r="L141">
        <v>3</v>
      </c>
      <c r="M141">
        <v>3</v>
      </c>
      <c r="N141">
        <v>0</v>
      </c>
      <c r="O141">
        <v>0</v>
      </c>
      <c r="P141">
        <v>0</v>
      </c>
      <c r="Q141" t="s">
        <v>69</v>
      </c>
      <c r="R141" t="s">
        <v>1309</v>
      </c>
      <c r="S141" t="s">
        <v>493</v>
      </c>
      <c r="T141" t="s">
        <v>99</v>
      </c>
      <c r="Y141">
        <v>75</v>
      </c>
      <c r="Z141">
        <v>1</v>
      </c>
      <c r="AA141">
        <v>7500</v>
      </c>
      <c r="AB141">
        <v>0</v>
      </c>
    </row>
    <row r="142" spans="1:55" x14ac:dyDescent="0.3">
      <c r="A142">
        <v>2</v>
      </c>
      <c r="B142" s="1">
        <v>44928</v>
      </c>
      <c r="C142" s="1">
        <v>44995</v>
      </c>
      <c r="D142">
        <v>7</v>
      </c>
      <c r="E142" t="s">
        <v>608</v>
      </c>
      <c r="F142">
        <v>171</v>
      </c>
      <c r="G142" t="s">
        <v>1229</v>
      </c>
      <c r="H142" t="s">
        <v>609</v>
      </c>
      <c r="I142" t="s">
        <v>225</v>
      </c>
      <c r="J142" t="s">
        <v>610</v>
      </c>
      <c r="K142" t="s">
        <v>611</v>
      </c>
      <c r="L142">
        <v>2</v>
      </c>
      <c r="M142">
        <v>1</v>
      </c>
      <c r="N142">
        <v>1</v>
      </c>
      <c r="O142">
        <v>0</v>
      </c>
      <c r="P142">
        <v>1</v>
      </c>
      <c r="Q142" t="s">
        <v>69</v>
      </c>
      <c r="R142" t="s">
        <v>1309</v>
      </c>
      <c r="S142" t="s">
        <v>185</v>
      </c>
      <c r="T142" t="s">
        <v>186</v>
      </c>
      <c r="U142">
        <v>2400</v>
      </c>
      <c r="Y142">
        <v>250</v>
      </c>
      <c r="Z142">
        <v>1</v>
      </c>
      <c r="AA142">
        <v>25000</v>
      </c>
      <c r="AB142">
        <v>0</v>
      </c>
    </row>
    <row r="143" spans="1:55" x14ac:dyDescent="0.3">
      <c r="A143">
        <v>2</v>
      </c>
      <c r="B143" s="1">
        <v>44928</v>
      </c>
      <c r="C143" s="1">
        <v>44995</v>
      </c>
      <c r="D143">
        <v>7</v>
      </c>
      <c r="E143" t="s">
        <v>608</v>
      </c>
      <c r="F143">
        <v>172</v>
      </c>
      <c r="G143" t="s">
        <v>1230</v>
      </c>
      <c r="H143" t="s">
        <v>612</v>
      </c>
      <c r="I143" t="s">
        <v>66</v>
      </c>
      <c r="J143" t="s">
        <v>613</v>
      </c>
      <c r="K143" t="s">
        <v>614</v>
      </c>
      <c r="L143">
        <v>2</v>
      </c>
      <c r="M143">
        <v>1</v>
      </c>
      <c r="N143">
        <v>1</v>
      </c>
      <c r="O143">
        <v>0</v>
      </c>
      <c r="P143">
        <v>0</v>
      </c>
      <c r="Q143" t="s">
        <v>75</v>
      </c>
      <c r="R143" t="s">
        <v>1309</v>
      </c>
      <c r="S143" t="s">
        <v>76</v>
      </c>
      <c r="T143" t="s">
        <v>77</v>
      </c>
      <c r="Y143">
        <v>30</v>
      </c>
      <c r="Z143">
        <v>10</v>
      </c>
      <c r="AA143">
        <v>300</v>
      </c>
      <c r="AB143">
        <v>1</v>
      </c>
      <c r="AC143">
        <v>1</v>
      </c>
      <c r="AD143">
        <v>30</v>
      </c>
      <c r="AE143">
        <v>10</v>
      </c>
      <c r="AH143">
        <v>300</v>
      </c>
      <c r="AI143">
        <v>2</v>
      </c>
      <c r="AU143">
        <v>15</v>
      </c>
      <c r="AV143">
        <v>5</v>
      </c>
      <c r="AX143">
        <v>15</v>
      </c>
      <c r="AY143">
        <v>5</v>
      </c>
    </row>
    <row r="144" spans="1:55" x14ac:dyDescent="0.3">
      <c r="A144">
        <v>2</v>
      </c>
      <c r="B144" s="1">
        <v>44928</v>
      </c>
      <c r="C144" s="1">
        <v>44995</v>
      </c>
      <c r="D144">
        <v>7</v>
      </c>
      <c r="E144" t="s">
        <v>608</v>
      </c>
      <c r="F144">
        <v>173</v>
      </c>
      <c r="G144" t="s">
        <v>1231</v>
      </c>
      <c r="H144" t="s">
        <v>615</v>
      </c>
      <c r="I144" t="s">
        <v>173</v>
      </c>
      <c r="J144" t="s">
        <v>616</v>
      </c>
      <c r="K144" t="s">
        <v>617</v>
      </c>
      <c r="L144">
        <v>3</v>
      </c>
      <c r="M144">
        <v>3</v>
      </c>
      <c r="N144">
        <v>0</v>
      </c>
      <c r="O144">
        <v>0</v>
      </c>
      <c r="P144">
        <v>0</v>
      </c>
      <c r="Q144" t="s">
        <v>69</v>
      </c>
      <c r="R144" t="s">
        <v>1309</v>
      </c>
      <c r="S144" t="s">
        <v>134</v>
      </c>
      <c r="T144" t="s">
        <v>99</v>
      </c>
      <c r="Y144">
        <v>100</v>
      </c>
      <c r="Z144">
        <v>1.5</v>
      </c>
      <c r="AA144">
        <v>6666.6666670000004</v>
      </c>
      <c r="AB144">
        <v>1</v>
      </c>
      <c r="AC144">
        <v>1</v>
      </c>
      <c r="AD144">
        <v>50</v>
      </c>
      <c r="AE144">
        <v>3.5</v>
      </c>
      <c r="AF144">
        <v>50</v>
      </c>
      <c r="AG144">
        <v>10</v>
      </c>
      <c r="AH144">
        <v>1428.5714290000001</v>
      </c>
      <c r="AI144">
        <v>1</v>
      </c>
      <c r="AO144">
        <v>50</v>
      </c>
      <c r="AP144">
        <v>3.5</v>
      </c>
      <c r="AQ144">
        <v>50</v>
      </c>
    </row>
    <row r="145" spans="1:60" x14ac:dyDescent="0.3">
      <c r="A145">
        <v>2</v>
      </c>
      <c r="B145" s="1">
        <v>44928</v>
      </c>
      <c r="C145" s="1">
        <v>44995</v>
      </c>
      <c r="D145">
        <v>8</v>
      </c>
      <c r="E145" t="s">
        <v>618</v>
      </c>
      <c r="F145">
        <v>174</v>
      </c>
      <c r="G145" t="s">
        <v>1232</v>
      </c>
      <c r="H145" t="s">
        <v>619</v>
      </c>
      <c r="I145" t="s">
        <v>225</v>
      </c>
      <c r="J145" t="s">
        <v>620</v>
      </c>
      <c r="K145" t="s">
        <v>621</v>
      </c>
      <c r="L145">
        <v>1</v>
      </c>
      <c r="M145">
        <v>1</v>
      </c>
      <c r="N145">
        <v>0</v>
      </c>
      <c r="O145">
        <v>0</v>
      </c>
      <c r="P145">
        <v>0</v>
      </c>
      <c r="Q145" t="s">
        <v>69</v>
      </c>
      <c r="R145" t="s">
        <v>1309</v>
      </c>
      <c r="S145" t="s">
        <v>622</v>
      </c>
      <c r="T145" t="s">
        <v>623</v>
      </c>
      <c r="Y145">
        <v>30</v>
      </c>
      <c r="Z145">
        <v>1</v>
      </c>
      <c r="AA145">
        <v>3000</v>
      </c>
      <c r="AB145">
        <v>1</v>
      </c>
      <c r="AC145">
        <v>1</v>
      </c>
      <c r="AD145">
        <v>30</v>
      </c>
      <c r="AE145">
        <v>3</v>
      </c>
      <c r="AH145">
        <v>1000</v>
      </c>
      <c r="AI145">
        <v>2</v>
      </c>
      <c r="AO145">
        <v>15</v>
      </c>
      <c r="AP145">
        <v>1.5</v>
      </c>
      <c r="AX145">
        <v>15</v>
      </c>
      <c r="AY145">
        <v>1.5</v>
      </c>
    </row>
    <row r="146" spans="1:60" x14ac:dyDescent="0.3">
      <c r="A146">
        <v>2</v>
      </c>
      <c r="B146" s="1">
        <v>44928</v>
      </c>
      <c r="C146" s="1">
        <v>44995</v>
      </c>
      <c r="D146">
        <v>8</v>
      </c>
      <c r="E146" t="s">
        <v>618</v>
      </c>
      <c r="F146">
        <v>175</v>
      </c>
      <c r="G146" t="s">
        <v>1233</v>
      </c>
      <c r="H146" t="s">
        <v>624</v>
      </c>
      <c r="I146" t="s">
        <v>79</v>
      </c>
      <c r="J146" t="s">
        <v>625</v>
      </c>
      <c r="K146" t="s">
        <v>626</v>
      </c>
      <c r="L146">
        <v>2</v>
      </c>
      <c r="M146">
        <v>0</v>
      </c>
      <c r="N146">
        <v>2</v>
      </c>
      <c r="O146">
        <v>0</v>
      </c>
      <c r="P146">
        <v>0</v>
      </c>
      <c r="Q146" t="s">
        <v>69</v>
      </c>
      <c r="R146">
        <v>2020</v>
      </c>
      <c r="S146" t="s">
        <v>70</v>
      </c>
      <c r="T146" t="s">
        <v>70</v>
      </c>
      <c r="Y146">
        <v>75</v>
      </c>
      <c r="Z146">
        <v>1</v>
      </c>
      <c r="AA146">
        <v>7500</v>
      </c>
      <c r="AB146">
        <v>1</v>
      </c>
      <c r="AC146">
        <v>1</v>
      </c>
      <c r="AD146">
        <v>75</v>
      </c>
      <c r="AE146">
        <v>3.75</v>
      </c>
      <c r="AH146">
        <v>2000</v>
      </c>
      <c r="AI146">
        <v>2</v>
      </c>
      <c r="AX146">
        <v>37.5</v>
      </c>
      <c r="AY146">
        <v>1.875</v>
      </c>
      <c r="BA146">
        <v>37.5</v>
      </c>
      <c r="BB146">
        <v>1.875</v>
      </c>
    </row>
    <row r="147" spans="1:60" x14ac:dyDescent="0.3">
      <c r="A147">
        <v>2</v>
      </c>
      <c r="B147" s="1">
        <v>44928</v>
      </c>
      <c r="C147" s="1">
        <v>44995</v>
      </c>
      <c r="D147">
        <v>8</v>
      </c>
      <c r="E147" t="s">
        <v>618</v>
      </c>
      <c r="F147">
        <v>176</v>
      </c>
      <c r="G147" t="s">
        <v>1234</v>
      </c>
      <c r="H147" t="s">
        <v>627</v>
      </c>
      <c r="I147" t="s">
        <v>79</v>
      </c>
      <c r="J147" t="s">
        <v>628</v>
      </c>
      <c r="K147" t="s">
        <v>629</v>
      </c>
      <c r="L147">
        <v>1</v>
      </c>
      <c r="M147">
        <v>0</v>
      </c>
      <c r="N147">
        <v>1</v>
      </c>
      <c r="O147">
        <v>0</v>
      </c>
      <c r="P147">
        <v>0</v>
      </c>
      <c r="Q147" t="s">
        <v>69</v>
      </c>
      <c r="R147" t="s">
        <v>1309</v>
      </c>
      <c r="S147" t="s">
        <v>70</v>
      </c>
      <c r="T147" t="s">
        <v>70</v>
      </c>
      <c r="Y147">
        <v>25</v>
      </c>
      <c r="Z147">
        <v>5</v>
      </c>
      <c r="AA147">
        <v>500</v>
      </c>
      <c r="AB147">
        <v>0</v>
      </c>
    </row>
    <row r="148" spans="1:60" x14ac:dyDescent="0.3">
      <c r="A148">
        <v>2</v>
      </c>
      <c r="B148" s="1">
        <v>44928</v>
      </c>
      <c r="C148" s="1">
        <v>44995</v>
      </c>
      <c r="D148">
        <v>9</v>
      </c>
      <c r="E148" t="s">
        <v>630</v>
      </c>
      <c r="F148">
        <v>177</v>
      </c>
      <c r="G148" t="s">
        <v>631</v>
      </c>
      <c r="H148" t="s">
        <v>631</v>
      </c>
      <c r="I148" t="s">
        <v>79</v>
      </c>
      <c r="J148" t="s">
        <v>632</v>
      </c>
      <c r="K148" t="s">
        <v>633</v>
      </c>
      <c r="L148">
        <v>2</v>
      </c>
      <c r="M148">
        <v>1</v>
      </c>
      <c r="N148">
        <v>1</v>
      </c>
      <c r="O148">
        <v>0</v>
      </c>
      <c r="P148">
        <v>1</v>
      </c>
      <c r="Q148" t="s">
        <v>75</v>
      </c>
      <c r="R148">
        <v>2020</v>
      </c>
      <c r="S148" t="s">
        <v>76</v>
      </c>
      <c r="T148" t="s">
        <v>77</v>
      </c>
      <c r="U148">
        <v>350</v>
      </c>
      <c r="Y148">
        <v>65</v>
      </c>
      <c r="Z148">
        <v>1</v>
      </c>
      <c r="AA148">
        <v>6500</v>
      </c>
      <c r="AB148">
        <v>1</v>
      </c>
      <c r="AC148">
        <v>1</v>
      </c>
      <c r="AD148">
        <v>65</v>
      </c>
      <c r="AE148">
        <v>2</v>
      </c>
      <c r="AH148">
        <v>3250</v>
      </c>
      <c r="AI148">
        <v>2</v>
      </c>
      <c r="AU148">
        <v>32.5</v>
      </c>
      <c r="AV148">
        <v>1</v>
      </c>
      <c r="AX148">
        <v>32.5</v>
      </c>
      <c r="AY148">
        <v>1</v>
      </c>
    </row>
    <row r="149" spans="1:60" x14ac:dyDescent="0.3">
      <c r="A149">
        <v>2</v>
      </c>
      <c r="B149" s="1">
        <v>44928</v>
      </c>
      <c r="C149" s="1">
        <v>44995</v>
      </c>
      <c r="D149">
        <v>9</v>
      </c>
      <c r="E149" t="s">
        <v>630</v>
      </c>
      <c r="F149">
        <v>178</v>
      </c>
      <c r="G149" t="s">
        <v>634</v>
      </c>
      <c r="H149" t="s">
        <v>634</v>
      </c>
      <c r="I149" t="s">
        <v>635</v>
      </c>
      <c r="J149" t="s">
        <v>636</v>
      </c>
      <c r="K149" t="s">
        <v>637</v>
      </c>
      <c r="L149">
        <v>1</v>
      </c>
      <c r="M149">
        <v>0</v>
      </c>
      <c r="N149">
        <v>1</v>
      </c>
      <c r="O149">
        <v>0</v>
      </c>
      <c r="P149">
        <v>0</v>
      </c>
      <c r="Q149" t="s">
        <v>69</v>
      </c>
      <c r="R149" t="s">
        <v>1309</v>
      </c>
      <c r="S149" t="s">
        <v>70</v>
      </c>
      <c r="T149" t="s">
        <v>70</v>
      </c>
      <c r="Y149">
        <v>50</v>
      </c>
      <c r="Z149">
        <v>1</v>
      </c>
      <c r="AA149">
        <v>5000</v>
      </c>
      <c r="AB149">
        <v>1</v>
      </c>
      <c r="AC149">
        <v>1</v>
      </c>
      <c r="AD149">
        <v>50</v>
      </c>
      <c r="AE149">
        <v>2</v>
      </c>
      <c r="AH149">
        <v>2500</v>
      </c>
      <c r="AI149">
        <v>1</v>
      </c>
      <c r="AO149">
        <v>50</v>
      </c>
      <c r="AP149">
        <v>2</v>
      </c>
    </row>
    <row r="150" spans="1:60" x14ac:dyDescent="0.3">
      <c r="A150">
        <v>2</v>
      </c>
      <c r="B150" s="1">
        <v>44928</v>
      </c>
      <c r="C150" s="1">
        <v>44995</v>
      </c>
      <c r="D150">
        <v>10</v>
      </c>
      <c r="E150" t="s">
        <v>638</v>
      </c>
      <c r="F150">
        <v>179</v>
      </c>
      <c r="G150" t="s">
        <v>639</v>
      </c>
      <c r="H150" t="s">
        <v>639</v>
      </c>
      <c r="I150" t="s">
        <v>79</v>
      </c>
      <c r="J150" t="s">
        <v>640</v>
      </c>
      <c r="K150" t="s">
        <v>641</v>
      </c>
      <c r="L150">
        <v>2</v>
      </c>
      <c r="M150">
        <v>2</v>
      </c>
      <c r="N150">
        <v>0</v>
      </c>
      <c r="O150">
        <v>0</v>
      </c>
      <c r="P150">
        <v>0</v>
      </c>
      <c r="Q150" t="s">
        <v>75</v>
      </c>
      <c r="R150" t="s">
        <v>1309</v>
      </c>
      <c r="S150" t="s">
        <v>195</v>
      </c>
      <c r="T150" t="s">
        <v>196</v>
      </c>
      <c r="U150">
        <v>100</v>
      </c>
      <c r="Y150">
        <v>50</v>
      </c>
      <c r="Z150">
        <v>3.3</v>
      </c>
      <c r="AA150">
        <v>1515.151515</v>
      </c>
      <c r="AB150">
        <v>1</v>
      </c>
      <c r="AC150">
        <v>1</v>
      </c>
      <c r="AD150">
        <v>100</v>
      </c>
      <c r="AE150">
        <v>10</v>
      </c>
      <c r="AH150">
        <v>1000</v>
      </c>
      <c r="AI150">
        <v>1</v>
      </c>
      <c r="AR150">
        <v>100</v>
      </c>
      <c r="AS150">
        <v>10</v>
      </c>
    </row>
    <row r="151" spans="1:60" x14ac:dyDescent="0.3">
      <c r="A151">
        <v>2</v>
      </c>
      <c r="B151" s="1">
        <v>44928</v>
      </c>
      <c r="C151" s="1">
        <v>44995</v>
      </c>
      <c r="D151">
        <v>10</v>
      </c>
      <c r="E151" t="s">
        <v>638</v>
      </c>
      <c r="F151">
        <v>180</v>
      </c>
      <c r="G151" t="s">
        <v>642</v>
      </c>
      <c r="H151" t="s">
        <v>642</v>
      </c>
      <c r="I151" t="s">
        <v>225</v>
      </c>
      <c r="J151" t="s">
        <v>643</v>
      </c>
      <c r="K151" t="s">
        <v>644</v>
      </c>
      <c r="L151">
        <v>2</v>
      </c>
      <c r="M151">
        <v>2</v>
      </c>
      <c r="N151">
        <v>0</v>
      </c>
      <c r="O151">
        <v>0</v>
      </c>
      <c r="P151">
        <v>0</v>
      </c>
      <c r="Q151" t="s">
        <v>69</v>
      </c>
      <c r="R151" t="s">
        <v>1309</v>
      </c>
      <c r="S151" t="s">
        <v>281</v>
      </c>
      <c r="T151" t="s">
        <v>93</v>
      </c>
      <c r="V151">
        <v>130</v>
      </c>
      <c r="Y151">
        <v>50</v>
      </c>
      <c r="Z151">
        <v>5</v>
      </c>
      <c r="AA151">
        <v>1000</v>
      </c>
      <c r="AB151">
        <v>0</v>
      </c>
    </row>
    <row r="152" spans="1:60" x14ac:dyDescent="0.3">
      <c r="A152">
        <v>2</v>
      </c>
      <c r="B152" s="1">
        <v>44928</v>
      </c>
      <c r="C152" s="1">
        <v>44995</v>
      </c>
      <c r="D152">
        <v>10</v>
      </c>
      <c r="E152" t="s">
        <v>638</v>
      </c>
      <c r="F152">
        <v>181</v>
      </c>
      <c r="G152" t="s">
        <v>645</v>
      </c>
      <c r="H152" t="s">
        <v>645</v>
      </c>
      <c r="I152" t="s">
        <v>448</v>
      </c>
      <c r="J152" t="s">
        <v>646</v>
      </c>
      <c r="K152" t="s">
        <v>647</v>
      </c>
      <c r="L152">
        <v>2</v>
      </c>
      <c r="M152">
        <v>2</v>
      </c>
      <c r="N152">
        <v>0</v>
      </c>
      <c r="O152">
        <v>0</v>
      </c>
      <c r="P152">
        <v>0</v>
      </c>
      <c r="Q152" t="s">
        <v>69</v>
      </c>
      <c r="R152" t="s">
        <v>1309</v>
      </c>
      <c r="S152" t="s">
        <v>86</v>
      </c>
      <c r="T152" t="s">
        <v>87</v>
      </c>
      <c r="Y152">
        <v>75</v>
      </c>
      <c r="Z152">
        <v>7.5</v>
      </c>
      <c r="AA152">
        <v>1000</v>
      </c>
      <c r="AB152">
        <v>1</v>
      </c>
      <c r="AC152">
        <v>1</v>
      </c>
      <c r="AD152">
        <v>25</v>
      </c>
      <c r="AE152">
        <v>7.5</v>
      </c>
      <c r="AF152">
        <v>50</v>
      </c>
      <c r="AG152">
        <v>10</v>
      </c>
      <c r="AH152">
        <v>333.33333329999999</v>
      </c>
      <c r="AI152">
        <v>1</v>
      </c>
      <c r="AO152">
        <v>25</v>
      </c>
      <c r="AP152">
        <v>7.5</v>
      </c>
      <c r="AQ152">
        <v>50</v>
      </c>
    </row>
    <row r="153" spans="1:60" x14ac:dyDescent="0.3">
      <c r="A153">
        <v>2</v>
      </c>
      <c r="B153" s="1">
        <v>44928</v>
      </c>
      <c r="C153" s="1">
        <v>44995</v>
      </c>
      <c r="D153">
        <v>11</v>
      </c>
      <c r="E153" t="s">
        <v>648</v>
      </c>
      <c r="F153">
        <v>182</v>
      </c>
      <c r="G153" t="s">
        <v>1235</v>
      </c>
      <c r="H153" t="s">
        <v>649</v>
      </c>
      <c r="I153" t="s">
        <v>448</v>
      </c>
      <c r="J153" t="s">
        <v>650</v>
      </c>
      <c r="K153" t="s">
        <v>651</v>
      </c>
      <c r="L153">
        <v>2</v>
      </c>
      <c r="M153">
        <v>2</v>
      </c>
      <c r="N153">
        <v>0</v>
      </c>
      <c r="O153">
        <v>0</v>
      </c>
      <c r="P153">
        <v>0</v>
      </c>
      <c r="Q153" t="s">
        <v>69</v>
      </c>
      <c r="R153" t="s">
        <v>1309</v>
      </c>
      <c r="S153" t="s">
        <v>165</v>
      </c>
      <c r="T153" t="s">
        <v>99</v>
      </c>
      <c r="Y153">
        <v>40</v>
      </c>
      <c r="Z153">
        <v>2</v>
      </c>
      <c r="AA153">
        <v>2000</v>
      </c>
      <c r="AB153">
        <v>1</v>
      </c>
      <c r="AC153">
        <v>1</v>
      </c>
      <c r="AD153">
        <v>40</v>
      </c>
      <c r="AE153">
        <v>10</v>
      </c>
      <c r="AH153">
        <v>400</v>
      </c>
      <c r="AI153">
        <v>1</v>
      </c>
      <c r="BA153">
        <v>40</v>
      </c>
      <c r="BB153">
        <v>10</v>
      </c>
    </row>
    <row r="154" spans="1:60" x14ac:dyDescent="0.3">
      <c r="A154">
        <v>2</v>
      </c>
      <c r="B154" s="1">
        <v>44928</v>
      </c>
      <c r="C154" s="1">
        <v>44995</v>
      </c>
      <c r="D154">
        <v>11</v>
      </c>
      <c r="E154" t="s">
        <v>648</v>
      </c>
      <c r="F154">
        <v>183</v>
      </c>
      <c r="G154" t="s">
        <v>652</v>
      </c>
      <c r="H154" t="s">
        <v>652</v>
      </c>
      <c r="I154" t="s">
        <v>225</v>
      </c>
      <c r="J154" t="s">
        <v>653</v>
      </c>
      <c r="K154" t="s">
        <v>654</v>
      </c>
      <c r="L154">
        <v>4</v>
      </c>
      <c r="M154">
        <v>4</v>
      </c>
      <c r="N154">
        <v>0</v>
      </c>
      <c r="O154">
        <v>0</v>
      </c>
      <c r="P154">
        <v>0</v>
      </c>
      <c r="Q154" t="s">
        <v>69</v>
      </c>
      <c r="R154" t="s">
        <v>1309</v>
      </c>
      <c r="S154" t="s">
        <v>70</v>
      </c>
      <c r="T154" t="s">
        <v>70</v>
      </c>
      <c r="Y154">
        <v>75</v>
      </c>
      <c r="Z154">
        <v>1.5</v>
      </c>
      <c r="AA154">
        <v>5000</v>
      </c>
      <c r="AB154">
        <v>1</v>
      </c>
      <c r="AC154">
        <v>1</v>
      </c>
      <c r="AD154">
        <v>75</v>
      </c>
      <c r="AE154">
        <v>3</v>
      </c>
      <c r="AH154">
        <v>2500</v>
      </c>
      <c r="AI154">
        <v>2</v>
      </c>
      <c r="AX154">
        <v>37.5</v>
      </c>
      <c r="AY154">
        <v>1.5</v>
      </c>
      <c r="BA154">
        <v>37.5</v>
      </c>
      <c r="BB154">
        <v>1.5</v>
      </c>
    </row>
    <row r="155" spans="1:60" x14ac:dyDescent="0.3">
      <c r="A155">
        <v>2</v>
      </c>
      <c r="B155" s="1">
        <v>44928</v>
      </c>
      <c r="C155" s="1">
        <v>44995</v>
      </c>
      <c r="D155">
        <v>11</v>
      </c>
      <c r="E155" t="s">
        <v>648</v>
      </c>
      <c r="F155">
        <v>184</v>
      </c>
      <c r="G155" t="s">
        <v>1236</v>
      </c>
      <c r="H155" t="s">
        <v>655</v>
      </c>
      <c r="I155" t="s">
        <v>182</v>
      </c>
      <c r="J155" t="s">
        <v>656</v>
      </c>
      <c r="K155" t="s">
        <v>657</v>
      </c>
      <c r="L155">
        <v>2</v>
      </c>
      <c r="M155">
        <v>1</v>
      </c>
      <c r="N155">
        <v>1</v>
      </c>
      <c r="O155">
        <v>0</v>
      </c>
      <c r="P155">
        <v>0</v>
      </c>
      <c r="Q155" t="s">
        <v>69</v>
      </c>
      <c r="R155">
        <v>2006</v>
      </c>
      <c r="S155" t="s">
        <v>86</v>
      </c>
      <c r="T155" t="s">
        <v>87</v>
      </c>
      <c r="Y155">
        <v>80</v>
      </c>
      <c r="Z155">
        <v>4</v>
      </c>
      <c r="AA155">
        <v>2000</v>
      </c>
      <c r="AB155">
        <v>1</v>
      </c>
      <c r="AC155">
        <v>1</v>
      </c>
      <c r="AD155">
        <v>30</v>
      </c>
      <c r="AE155">
        <v>4</v>
      </c>
      <c r="AF155">
        <v>50</v>
      </c>
      <c r="AG155">
        <v>10</v>
      </c>
      <c r="AH155">
        <v>750</v>
      </c>
      <c r="AI155">
        <v>1</v>
      </c>
      <c r="AO155">
        <v>30</v>
      </c>
      <c r="AP155">
        <v>4</v>
      </c>
      <c r="AQ155">
        <v>50</v>
      </c>
    </row>
    <row r="156" spans="1:60" x14ac:dyDescent="0.3">
      <c r="A156">
        <v>2</v>
      </c>
      <c r="B156" s="1">
        <v>44928</v>
      </c>
      <c r="C156" s="1">
        <v>44995</v>
      </c>
      <c r="D156">
        <v>12</v>
      </c>
      <c r="E156" t="s">
        <v>658</v>
      </c>
      <c r="F156">
        <v>185</v>
      </c>
      <c r="G156" t="s">
        <v>1237</v>
      </c>
      <c r="H156" t="s">
        <v>659</v>
      </c>
      <c r="I156" t="s">
        <v>79</v>
      </c>
      <c r="J156" t="s">
        <v>660</v>
      </c>
      <c r="K156" t="s">
        <v>661</v>
      </c>
      <c r="L156">
        <v>2</v>
      </c>
      <c r="M156">
        <v>2</v>
      </c>
      <c r="N156">
        <v>0</v>
      </c>
      <c r="O156">
        <v>0</v>
      </c>
      <c r="P156">
        <v>0</v>
      </c>
      <c r="Q156" t="s">
        <v>69</v>
      </c>
      <c r="R156" t="s">
        <v>1309</v>
      </c>
      <c r="S156" t="s">
        <v>165</v>
      </c>
      <c r="T156" t="s">
        <v>99</v>
      </c>
      <c r="Y156">
        <v>60</v>
      </c>
      <c r="Z156">
        <v>2</v>
      </c>
      <c r="AA156">
        <v>3000</v>
      </c>
      <c r="AB156">
        <v>1</v>
      </c>
      <c r="AC156">
        <v>1</v>
      </c>
      <c r="AD156">
        <v>60</v>
      </c>
      <c r="AE156">
        <v>4</v>
      </c>
      <c r="AH156">
        <v>1500</v>
      </c>
      <c r="AI156">
        <v>1</v>
      </c>
      <c r="AX156">
        <v>60</v>
      </c>
      <c r="AY156">
        <v>4</v>
      </c>
    </row>
    <row r="157" spans="1:60" x14ac:dyDescent="0.3">
      <c r="A157">
        <v>2</v>
      </c>
      <c r="B157" s="1">
        <v>44928</v>
      </c>
      <c r="C157" s="1">
        <v>44995</v>
      </c>
      <c r="D157">
        <v>12</v>
      </c>
      <c r="E157" t="s">
        <v>658</v>
      </c>
      <c r="F157">
        <v>186</v>
      </c>
      <c r="G157" t="s">
        <v>662</v>
      </c>
      <c r="H157" t="s">
        <v>662</v>
      </c>
      <c r="I157" t="s">
        <v>173</v>
      </c>
      <c r="J157" t="s">
        <v>663</v>
      </c>
      <c r="K157" t="s">
        <v>664</v>
      </c>
      <c r="L157">
        <v>1</v>
      </c>
      <c r="M157">
        <v>1</v>
      </c>
      <c r="N157">
        <v>0</v>
      </c>
      <c r="O157">
        <v>0</v>
      </c>
      <c r="P157">
        <v>0</v>
      </c>
      <c r="Q157" t="s">
        <v>69</v>
      </c>
      <c r="R157">
        <v>2021</v>
      </c>
      <c r="S157" t="s">
        <v>665</v>
      </c>
      <c r="T157" t="s">
        <v>196</v>
      </c>
      <c r="Y157">
        <v>100</v>
      </c>
      <c r="Z157">
        <v>2.5</v>
      </c>
      <c r="AA157">
        <v>4000</v>
      </c>
      <c r="AB157">
        <v>1</v>
      </c>
      <c r="AC157">
        <v>1</v>
      </c>
      <c r="AD157">
        <v>100</v>
      </c>
      <c r="AE157">
        <v>2.5</v>
      </c>
      <c r="AH157">
        <v>4000</v>
      </c>
      <c r="AI157">
        <v>1</v>
      </c>
      <c r="AO157">
        <v>100</v>
      </c>
      <c r="AP157">
        <v>2.5</v>
      </c>
    </row>
    <row r="158" spans="1:60" x14ac:dyDescent="0.3">
      <c r="A158">
        <v>2</v>
      </c>
      <c r="B158" s="1">
        <v>44928</v>
      </c>
      <c r="C158" s="1">
        <v>44995</v>
      </c>
      <c r="D158">
        <v>12</v>
      </c>
      <c r="E158" t="s">
        <v>658</v>
      </c>
      <c r="F158">
        <v>187</v>
      </c>
      <c r="G158" t="s">
        <v>1238</v>
      </c>
      <c r="H158" t="s">
        <v>666</v>
      </c>
      <c r="I158" t="s">
        <v>182</v>
      </c>
      <c r="J158" t="s">
        <v>667</v>
      </c>
      <c r="K158" t="s">
        <v>668</v>
      </c>
      <c r="L158">
        <v>1</v>
      </c>
      <c r="M158">
        <v>1</v>
      </c>
      <c r="N158">
        <v>0</v>
      </c>
      <c r="O158">
        <v>0</v>
      </c>
      <c r="P158">
        <v>0</v>
      </c>
      <c r="Q158" t="s">
        <v>69</v>
      </c>
      <c r="R158" t="s">
        <v>1309</v>
      </c>
      <c r="S158" t="s">
        <v>195</v>
      </c>
      <c r="T158" t="s">
        <v>196</v>
      </c>
      <c r="W158">
        <v>75</v>
      </c>
      <c r="Y158">
        <v>50</v>
      </c>
      <c r="Z158">
        <v>2</v>
      </c>
      <c r="AA158">
        <v>2500</v>
      </c>
      <c r="AB158">
        <v>0</v>
      </c>
    </row>
    <row r="159" spans="1:60" x14ac:dyDescent="0.3">
      <c r="A159">
        <v>2</v>
      </c>
      <c r="B159" s="1">
        <v>44928</v>
      </c>
      <c r="C159" s="1">
        <v>44995</v>
      </c>
      <c r="D159">
        <v>13</v>
      </c>
      <c r="E159" t="s">
        <v>669</v>
      </c>
      <c r="F159">
        <v>188</v>
      </c>
      <c r="G159" t="s">
        <v>1239</v>
      </c>
      <c r="H159" t="s">
        <v>670</v>
      </c>
      <c r="I159" t="s">
        <v>182</v>
      </c>
      <c r="J159" t="s">
        <v>671</v>
      </c>
      <c r="K159" t="s">
        <v>672</v>
      </c>
      <c r="L159">
        <v>3</v>
      </c>
      <c r="M159">
        <v>2</v>
      </c>
      <c r="N159">
        <v>1</v>
      </c>
      <c r="O159">
        <v>0</v>
      </c>
      <c r="P159">
        <v>0</v>
      </c>
      <c r="Q159" t="s">
        <v>75</v>
      </c>
      <c r="R159" t="s">
        <v>1309</v>
      </c>
      <c r="S159" t="s">
        <v>394</v>
      </c>
      <c r="T159" t="s">
        <v>77</v>
      </c>
      <c r="Y159">
        <v>75</v>
      </c>
      <c r="Z159">
        <v>4</v>
      </c>
      <c r="AA159">
        <v>1875</v>
      </c>
      <c r="AB159">
        <v>1</v>
      </c>
      <c r="AC159">
        <v>1</v>
      </c>
      <c r="AD159">
        <v>75</v>
      </c>
      <c r="AE159">
        <v>15</v>
      </c>
      <c r="AH159">
        <v>500</v>
      </c>
      <c r="AI159">
        <v>4</v>
      </c>
      <c r="AO159">
        <v>18.75</v>
      </c>
      <c r="AP159">
        <v>3.75</v>
      </c>
      <c r="AX159">
        <v>18.75</v>
      </c>
      <c r="AY159">
        <v>3.75</v>
      </c>
      <c r="BA159">
        <v>18.75</v>
      </c>
      <c r="BB159">
        <v>3.75</v>
      </c>
      <c r="BG159">
        <v>18.75</v>
      </c>
      <c r="BH159">
        <v>3.75</v>
      </c>
    </row>
    <row r="160" spans="1:60" x14ac:dyDescent="0.3">
      <c r="A160">
        <v>2</v>
      </c>
      <c r="B160" s="1">
        <v>44928</v>
      </c>
      <c r="C160" s="1">
        <v>44995</v>
      </c>
      <c r="D160">
        <v>13</v>
      </c>
      <c r="E160" t="s">
        <v>669</v>
      </c>
      <c r="F160">
        <v>189</v>
      </c>
      <c r="G160" t="s">
        <v>673</v>
      </c>
      <c r="H160" t="s">
        <v>673</v>
      </c>
      <c r="I160" t="s">
        <v>79</v>
      </c>
      <c r="J160" t="s">
        <v>674</v>
      </c>
      <c r="K160" t="s">
        <v>675</v>
      </c>
      <c r="L160">
        <v>2</v>
      </c>
      <c r="M160">
        <v>0</v>
      </c>
      <c r="N160">
        <v>2</v>
      </c>
      <c r="O160">
        <v>0</v>
      </c>
      <c r="P160">
        <v>0</v>
      </c>
      <c r="Q160" t="s">
        <v>75</v>
      </c>
      <c r="R160" t="s">
        <v>1309</v>
      </c>
      <c r="S160" t="s">
        <v>70</v>
      </c>
      <c r="T160" t="s">
        <v>70</v>
      </c>
      <c r="Y160">
        <v>40</v>
      </c>
      <c r="Z160">
        <v>5</v>
      </c>
      <c r="AA160">
        <v>800</v>
      </c>
      <c r="AB160">
        <v>1</v>
      </c>
      <c r="AC160">
        <v>1</v>
      </c>
      <c r="AD160">
        <v>40</v>
      </c>
      <c r="AE160">
        <v>20</v>
      </c>
      <c r="AH160">
        <v>200</v>
      </c>
      <c r="AI160">
        <v>1</v>
      </c>
      <c r="BG160">
        <v>40</v>
      </c>
      <c r="BH160">
        <v>20</v>
      </c>
    </row>
    <row r="161" spans="1:61" x14ac:dyDescent="0.3">
      <c r="A161">
        <v>2</v>
      </c>
      <c r="B161" s="1">
        <v>44928</v>
      </c>
      <c r="C161" s="1">
        <v>44995</v>
      </c>
      <c r="D161">
        <v>13</v>
      </c>
      <c r="E161" t="s">
        <v>669</v>
      </c>
      <c r="F161">
        <v>190</v>
      </c>
      <c r="G161" t="s">
        <v>676</v>
      </c>
      <c r="H161" t="s">
        <v>676</v>
      </c>
      <c r="I161" t="s">
        <v>66</v>
      </c>
      <c r="J161" t="s">
        <v>677</v>
      </c>
      <c r="K161" t="s">
        <v>678</v>
      </c>
      <c r="L161">
        <v>2</v>
      </c>
      <c r="M161">
        <v>1</v>
      </c>
      <c r="N161">
        <v>1</v>
      </c>
      <c r="O161">
        <v>0</v>
      </c>
      <c r="P161">
        <v>1</v>
      </c>
      <c r="Q161" t="s">
        <v>69</v>
      </c>
      <c r="R161">
        <v>2016</v>
      </c>
      <c r="S161" t="s">
        <v>155</v>
      </c>
      <c r="T161" t="s">
        <v>156</v>
      </c>
      <c r="V161">
        <v>100</v>
      </c>
      <c r="Y161">
        <v>150</v>
      </c>
      <c r="Z161">
        <v>1</v>
      </c>
      <c r="AA161">
        <v>15000</v>
      </c>
      <c r="AB161">
        <v>1</v>
      </c>
      <c r="AC161">
        <v>0</v>
      </c>
    </row>
    <row r="162" spans="1:61" x14ac:dyDescent="0.3">
      <c r="A162">
        <v>2</v>
      </c>
      <c r="B162" s="1">
        <v>44928</v>
      </c>
      <c r="C162" s="1">
        <v>44995</v>
      </c>
      <c r="D162">
        <v>14</v>
      </c>
      <c r="E162" t="s">
        <v>679</v>
      </c>
      <c r="F162">
        <v>191</v>
      </c>
      <c r="G162" t="s">
        <v>680</v>
      </c>
      <c r="H162" t="s">
        <v>680</v>
      </c>
      <c r="I162" t="s">
        <v>182</v>
      </c>
      <c r="J162" t="s">
        <v>681</v>
      </c>
      <c r="K162" t="s">
        <v>682</v>
      </c>
      <c r="L162">
        <v>2</v>
      </c>
      <c r="M162">
        <v>1</v>
      </c>
      <c r="N162">
        <v>1</v>
      </c>
      <c r="O162">
        <v>0</v>
      </c>
      <c r="P162">
        <v>0</v>
      </c>
      <c r="Q162" t="s">
        <v>75</v>
      </c>
      <c r="R162">
        <v>2018</v>
      </c>
      <c r="S162" t="s">
        <v>683</v>
      </c>
      <c r="T162" t="s">
        <v>345</v>
      </c>
      <c r="V162">
        <v>10</v>
      </c>
      <c r="Y162">
        <v>51</v>
      </c>
      <c r="Z162">
        <v>1</v>
      </c>
      <c r="AA162">
        <v>5100</v>
      </c>
      <c r="AB162">
        <v>1</v>
      </c>
      <c r="AC162">
        <v>1</v>
      </c>
      <c r="AD162">
        <v>51</v>
      </c>
      <c r="AE162">
        <v>6</v>
      </c>
      <c r="AH162">
        <v>850</v>
      </c>
      <c r="AI162">
        <v>2</v>
      </c>
      <c r="AR162">
        <v>25.5</v>
      </c>
      <c r="AS162">
        <v>3</v>
      </c>
      <c r="BA162">
        <v>25.5</v>
      </c>
      <c r="BB162">
        <v>3</v>
      </c>
    </row>
    <row r="163" spans="1:61" x14ac:dyDescent="0.3">
      <c r="A163">
        <v>2</v>
      </c>
      <c r="B163" s="1">
        <v>44928</v>
      </c>
      <c r="C163" s="1">
        <v>44995</v>
      </c>
      <c r="D163">
        <v>14</v>
      </c>
      <c r="E163" t="s">
        <v>679</v>
      </c>
      <c r="F163">
        <v>192</v>
      </c>
      <c r="G163" t="s">
        <v>1240</v>
      </c>
      <c r="H163" t="s">
        <v>684</v>
      </c>
      <c r="I163" t="s">
        <v>66</v>
      </c>
      <c r="J163" t="s">
        <v>685</v>
      </c>
      <c r="K163" t="s">
        <v>686</v>
      </c>
      <c r="L163">
        <v>2</v>
      </c>
      <c r="M163">
        <v>1</v>
      </c>
      <c r="N163">
        <v>1</v>
      </c>
      <c r="O163">
        <v>0</v>
      </c>
      <c r="P163">
        <v>1</v>
      </c>
      <c r="Q163" t="s">
        <v>69</v>
      </c>
      <c r="R163" t="s">
        <v>1309</v>
      </c>
      <c r="S163" t="s">
        <v>70</v>
      </c>
      <c r="T163" t="s">
        <v>70</v>
      </c>
      <c r="Y163">
        <v>75</v>
      </c>
      <c r="Z163">
        <v>2.25</v>
      </c>
      <c r="AA163">
        <v>3333.333333</v>
      </c>
      <c r="AB163">
        <v>1</v>
      </c>
      <c r="AC163">
        <v>1</v>
      </c>
      <c r="AD163">
        <v>75</v>
      </c>
      <c r="AE163">
        <v>5</v>
      </c>
      <c r="AH163">
        <v>1500</v>
      </c>
      <c r="AI163">
        <v>1</v>
      </c>
      <c r="BG163">
        <v>75</v>
      </c>
      <c r="BH163">
        <v>5</v>
      </c>
    </row>
    <row r="164" spans="1:61" x14ac:dyDescent="0.3">
      <c r="A164">
        <v>2</v>
      </c>
      <c r="B164" s="1">
        <v>44928</v>
      </c>
      <c r="C164" s="1">
        <v>44995</v>
      </c>
      <c r="D164">
        <v>14</v>
      </c>
      <c r="E164" t="s">
        <v>679</v>
      </c>
      <c r="F164">
        <v>193</v>
      </c>
      <c r="G164" t="s">
        <v>687</v>
      </c>
      <c r="H164" t="s">
        <v>687</v>
      </c>
      <c r="I164" t="s">
        <v>635</v>
      </c>
      <c r="J164" t="s">
        <v>688</v>
      </c>
      <c r="K164" t="s">
        <v>689</v>
      </c>
      <c r="L164">
        <v>4</v>
      </c>
      <c r="M164">
        <v>4</v>
      </c>
      <c r="N164">
        <v>0</v>
      </c>
      <c r="O164">
        <v>0</v>
      </c>
      <c r="P164">
        <v>0</v>
      </c>
      <c r="Q164" t="s">
        <v>69</v>
      </c>
      <c r="R164" t="s">
        <v>1309</v>
      </c>
      <c r="S164" t="s">
        <v>690</v>
      </c>
      <c r="T164" t="s">
        <v>99</v>
      </c>
      <c r="Y164">
        <v>50</v>
      </c>
      <c r="Z164">
        <v>8</v>
      </c>
      <c r="AA164">
        <v>625</v>
      </c>
      <c r="AB164">
        <v>0</v>
      </c>
    </row>
    <row r="165" spans="1:61" x14ac:dyDescent="0.3">
      <c r="A165">
        <v>2</v>
      </c>
      <c r="B165" s="1">
        <v>44928</v>
      </c>
      <c r="C165" s="1">
        <v>44995</v>
      </c>
      <c r="D165">
        <v>15</v>
      </c>
      <c r="E165" t="s">
        <v>691</v>
      </c>
      <c r="F165">
        <v>194</v>
      </c>
      <c r="G165" t="s">
        <v>692</v>
      </c>
      <c r="H165" t="s">
        <v>692</v>
      </c>
      <c r="I165" t="s">
        <v>66</v>
      </c>
      <c r="J165" t="s">
        <v>693</v>
      </c>
      <c r="K165" t="s">
        <v>694</v>
      </c>
      <c r="L165">
        <v>2</v>
      </c>
      <c r="M165">
        <v>2</v>
      </c>
      <c r="N165">
        <v>0</v>
      </c>
      <c r="O165">
        <v>0</v>
      </c>
      <c r="P165">
        <v>0</v>
      </c>
      <c r="Q165" t="s">
        <v>69</v>
      </c>
      <c r="R165">
        <v>2021</v>
      </c>
      <c r="S165" t="s">
        <v>695</v>
      </c>
      <c r="T165" t="s">
        <v>99</v>
      </c>
      <c r="V165">
        <v>32</v>
      </c>
      <c r="W165">
        <v>23</v>
      </c>
      <c r="Y165">
        <v>72</v>
      </c>
      <c r="Z165">
        <v>2</v>
      </c>
      <c r="AA165">
        <v>3600</v>
      </c>
      <c r="AB165">
        <v>1</v>
      </c>
      <c r="AC165">
        <v>1</v>
      </c>
      <c r="AD165">
        <v>72</v>
      </c>
      <c r="AE165">
        <v>6.5</v>
      </c>
      <c r="AH165">
        <v>1107.6923079999999</v>
      </c>
      <c r="AI165">
        <v>1</v>
      </c>
      <c r="BG165">
        <v>72</v>
      </c>
      <c r="BH165">
        <v>6.5</v>
      </c>
    </row>
    <row r="166" spans="1:61" x14ac:dyDescent="0.3">
      <c r="A166">
        <v>2</v>
      </c>
      <c r="B166" s="1">
        <v>44928</v>
      </c>
      <c r="C166" s="1">
        <v>44995</v>
      </c>
      <c r="D166">
        <v>15</v>
      </c>
      <c r="E166" t="s">
        <v>691</v>
      </c>
      <c r="F166">
        <v>195</v>
      </c>
      <c r="G166" t="s">
        <v>1241</v>
      </c>
      <c r="H166" t="s">
        <v>696</v>
      </c>
      <c r="I166" t="s">
        <v>286</v>
      </c>
      <c r="J166" t="s">
        <v>697</v>
      </c>
      <c r="K166" t="s">
        <v>698</v>
      </c>
      <c r="L166">
        <v>2</v>
      </c>
      <c r="M166">
        <v>2</v>
      </c>
      <c r="N166">
        <v>0</v>
      </c>
      <c r="O166">
        <v>0</v>
      </c>
      <c r="P166">
        <v>0</v>
      </c>
      <c r="Q166" t="s">
        <v>75</v>
      </c>
      <c r="R166">
        <v>2019</v>
      </c>
      <c r="S166" t="s">
        <v>699</v>
      </c>
      <c r="T166" t="s">
        <v>340</v>
      </c>
      <c r="U166">
        <v>-1</v>
      </c>
      <c r="V166">
        <v>25</v>
      </c>
      <c r="W166">
        <v>54</v>
      </c>
      <c r="Y166">
        <v>90</v>
      </c>
      <c r="Z166">
        <v>3</v>
      </c>
      <c r="AA166">
        <v>3000</v>
      </c>
      <c r="AB166">
        <v>1</v>
      </c>
      <c r="AC166">
        <v>1</v>
      </c>
      <c r="AD166">
        <v>90</v>
      </c>
      <c r="AE166">
        <v>7.5</v>
      </c>
      <c r="AH166">
        <v>1200</v>
      </c>
      <c r="AI166">
        <v>2</v>
      </c>
      <c r="AX166">
        <v>45</v>
      </c>
      <c r="AY166">
        <v>3.75</v>
      </c>
      <c r="BA166">
        <v>45</v>
      </c>
      <c r="BB166">
        <v>3.75</v>
      </c>
    </row>
    <row r="167" spans="1:61" x14ac:dyDescent="0.3">
      <c r="A167">
        <v>2</v>
      </c>
      <c r="B167" s="1">
        <v>44928</v>
      </c>
      <c r="C167" s="1">
        <v>44995</v>
      </c>
      <c r="D167">
        <v>15</v>
      </c>
      <c r="E167" t="s">
        <v>691</v>
      </c>
      <c r="F167">
        <v>196</v>
      </c>
      <c r="G167" t="s">
        <v>700</v>
      </c>
      <c r="H167" t="s">
        <v>700</v>
      </c>
      <c r="I167" t="s">
        <v>173</v>
      </c>
      <c r="J167" t="s">
        <v>701</v>
      </c>
      <c r="K167" t="s">
        <v>702</v>
      </c>
      <c r="L167">
        <v>2</v>
      </c>
      <c r="M167">
        <v>1</v>
      </c>
      <c r="N167">
        <v>1</v>
      </c>
      <c r="O167">
        <v>0</v>
      </c>
      <c r="P167">
        <v>1</v>
      </c>
      <c r="Q167" t="s">
        <v>69</v>
      </c>
      <c r="R167">
        <v>2021</v>
      </c>
      <c r="S167" t="s">
        <v>703</v>
      </c>
      <c r="T167" t="s">
        <v>99</v>
      </c>
      <c r="W167">
        <v>80</v>
      </c>
      <c r="Y167">
        <v>60</v>
      </c>
      <c r="Z167">
        <v>1</v>
      </c>
      <c r="AA167">
        <v>6000</v>
      </c>
      <c r="AB167">
        <v>1</v>
      </c>
      <c r="AC167">
        <v>1</v>
      </c>
      <c r="AD167">
        <v>60</v>
      </c>
      <c r="AE167">
        <v>6</v>
      </c>
      <c r="AH167">
        <v>1000</v>
      </c>
      <c r="AI167">
        <v>2</v>
      </c>
      <c r="AO167">
        <v>30</v>
      </c>
      <c r="AP167">
        <v>3</v>
      </c>
      <c r="BG167">
        <v>30</v>
      </c>
      <c r="BH167">
        <v>3</v>
      </c>
    </row>
    <row r="168" spans="1:61" x14ac:dyDescent="0.3">
      <c r="A168">
        <v>2</v>
      </c>
      <c r="B168" s="1">
        <v>44928</v>
      </c>
      <c r="C168" s="1">
        <v>44995</v>
      </c>
      <c r="D168">
        <v>16</v>
      </c>
      <c r="E168" t="s">
        <v>704</v>
      </c>
      <c r="F168">
        <v>197</v>
      </c>
      <c r="G168" t="s">
        <v>705</v>
      </c>
      <c r="H168" t="s">
        <v>705</v>
      </c>
      <c r="I168" t="s">
        <v>66</v>
      </c>
      <c r="J168" t="s">
        <v>706</v>
      </c>
      <c r="K168" t="s">
        <v>707</v>
      </c>
      <c r="L168">
        <v>3</v>
      </c>
      <c r="M168">
        <v>3</v>
      </c>
      <c r="N168">
        <v>0</v>
      </c>
      <c r="O168">
        <v>0</v>
      </c>
      <c r="P168">
        <v>0</v>
      </c>
      <c r="Q168" t="s">
        <v>69</v>
      </c>
      <c r="R168">
        <v>2020</v>
      </c>
      <c r="S168" t="s">
        <v>86</v>
      </c>
      <c r="T168" t="s">
        <v>87</v>
      </c>
      <c r="U168">
        <v>-1</v>
      </c>
      <c r="V168">
        <v>63</v>
      </c>
      <c r="Y168">
        <v>60</v>
      </c>
      <c r="Z168">
        <v>1.5</v>
      </c>
      <c r="AA168">
        <v>4000</v>
      </c>
      <c r="AB168">
        <v>1</v>
      </c>
      <c r="AC168">
        <v>1</v>
      </c>
      <c r="AD168">
        <v>19</v>
      </c>
      <c r="AE168">
        <v>1</v>
      </c>
      <c r="AF168">
        <v>41</v>
      </c>
      <c r="AG168">
        <v>10</v>
      </c>
      <c r="AH168">
        <v>1900</v>
      </c>
      <c r="AI168">
        <v>1</v>
      </c>
      <c r="AO168">
        <v>19</v>
      </c>
      <c r="AP168">
        <v>1</v>
      </c>
      <c r="AQ168">
        <v>41</v>
      </c>
    </row>
    <row r="169" spans="1:61" x14ac:dyDescent="0.3">
      <c r="A169">
        <v>2</v>
      </c>
      <c r="B169" s="1">
        <v>44928</v>
      </c>
      <c r="C169" s="1">
        <v>44995</v>
      </c>
      <c r="D169">
        <v>16</v>
      </c>
      <c r="E169" t="s">
        <v>704</v>
      </c>
      <c r="F169">
        <v>198</v>
      </c>
      <c r="G169" t="s">
        <v>708</v>
      </c>
      <c r="H169" t="s">
        <v>708</v>
      </c>
      <c r="I169" t="s">
        <v>182</v>
      </c>
      <c r="J169" t="s">
        <v>709</v>
      </c>
      <c r="K169" t="s">
        <v>710</v>
      </c>
      <c r="L169">
        <v>2</v>
      </c>
      <c r="M169">
        <v>2</v>
      </c>
      <c r="N169">
        <v>0</v>
      </c>
      <c r="O169">
        <v>0</v>
      </c>
      <c r="P169">
        <v>0</v>
      </c>
      <c r="Q169" t="s">
        <v>69</v>
      </c>
      <c r="R169" t="s">
        <v>1309</v>
      </c>
      <c r="S169" t="s">
        <v>143</v>
      </c>
      <c r="T169" t="s">
        <v>144</v>
      </c>
      <c r="W169">
        <v>37</v>
      </c>
      <c r="Y169">
        <v>50</v>
      </c>
      <c r="Z169">
        <v>1</v>
      </c>
      <c r="AA169">
        <v>5000</v>
      </c>
      <c r="AB169">
        <v>1</v>
      </c>
      <c r="AC169">
        <v>1</v>
      </c>
      <c r="AD169">
        <v>50</v>
      </c>
      <c r="AE169">
        <v>2</v>
      </c>
      <c r="AH169">
        <v>2500</v>
      </c>
      <c r="AI169">
        <v>1</v>
      </c>
      <c r="BA169">
        <v>50</v>
      </c>
      <c r="BB169">
        <v>2</v>
      </c>
    </row>
    <row r="170" spans="1:61" x14ac:dyDescent="0.3">
      <c r="A170">
        <v>2</v>
      </c>
      <c r="B170" s="1">
        <v>44928</v>
      </c>
      <c r="C170" s="1">
        <v>44995</v>
      </c>
      <c r="D170">
        <v>16</v>
      </c>
      <c r="E170" t="s">
        <v>704</v>
      </c>
      <c r="F170">
        <v>199</v>
      </c>
      <c r="G170" t="s">
        <v>711</v>
      </c>
      <c r="H170" t="s">
        <v>711</v>
      </c>
      <c r="I170" t="s">
        <v>286</v>
      </c>
      <c r="J170" t="s">
        <v>712</v>
      </c>
      <c r="K170" t="s">
        <v>713</v>
      </c>
      <c r="L170">
        <v>4</v>
      </c>
      <c r="M170">
        <v>3</v>
      </c>
      <c r="N170">
        <v>1</v>
      </c>
      <c r="O170">
        <v>0</v>
      </c>
      <c r="P170">
        <v>0</v>
      </c>
      <c r="Q170" t="s">
        <v>69</v>
      </c>
      <c r="R170">
        <v>2020</v>
      </c>
      <c r="S170" t="s">
        <v>190</v>
      </c>
      <c r="T170" t="s">
        <v>191</v>
      </c>
      <c r="U170">
        <v>120</v>
      </c>
      <c r="Y170">
        <v>90</v>
      </c>
      <c r="Z170">
        <v>2</v>
      </c>
      <c r="AA170">
        <v>4500</v>
      </c>
      <c r="AB170">
        <v>1</v>
      </c>
      <c r="AC170">
        <v>1</v>
      </c>
      <c r="AD170">
        <v>90</v>
      </c>
      <c r="AE170">
        <v>3</v>
      </c>
      <c r="AH170">
        <v>3000</v>
      </c>
      <c r="AI170">
        <v>2</v>
      </c>
      <c r="AR170">
        <v>45</v>
      </c>
      <c r="AS170">
        <v>1.5</v>
      </c>
      <c r="BA170">
        <v>45</v>
      </c>
      <c r="BB170">
        <v>1.5</v>
      </c>
    </row>
    <row r="171" spans="1:61" x14ac:dyDescent="0.3">
      <c r="A171">
        <v>2</v>
      </c>
      <c r="B171" s="1">
        <v>44928</v>
      </c>
      <c r="C171" s="1">
        <v>44995</v>
      </c>
      <c r="D171">
        <v>17</v>
      </c>
      <c r="E171" t="s">
        <v>714</v>
      </c>
      <c r="F171">
        <v>200</v>
      </c>
      <c r="G171" t="s">
        <v>1242</v>
      </c>
      <c r="H171" t="s">
        <v>715</v>
      </c>
      <c r="I171" t="s">
        <v>79</v>
      </c>
      <c r="J171" t="s">
        <v>716</v>
      </c>
      <c r="K171" t="s">
        <v>717</v>
      </c>
      <c r="L171">
        <v>5</v>
      </c>
      <c r="M171">
        <v>3</v>
      </c>
      <c r="N171">
        <v>2</v>
      </c>
      <c r="O171">
        <v>0</v>
      </c>
      <c r="P171">
        <v>1</v>
      </c>
      <c r="Q171" t="s">
        <v>69</v>
      </c>
      <c r="R171">
        <v>2021</v>
      </c>
      <c r="S171" t="s">
        <v>394</v>
      </c>
      <c r="T171" t="s">
        <v>77</v>
      </c>
      <c r="V171">
        <v>165</v>
      </c>
      <c r="W171">
        <v>69</v>
      </c>
      <c r="Y171">
        <v>280</v>
      </c>
      <c r="Z171">
        <v>0.5</v>
      </c>
      <c r="AA171">
        <v>56000</v>
      </c>
      <c r="AB171">
        <v>1</v>
      </c>
      <c r="AC171">
        <v>0</v>
      </c>
    </row>
    <row r="172" spans="1:61" x14ac:dyDescent="0.3">
      <c r="A172">
        <v>2</v>
      </c>
      <c r="B172" s="1">
        <v>44928</v>
      </c>
      <c r="C172" s="1">
        <v>44995</v>
      </c>
      <c r="D172">
        <v>17</v>
      </c>
      <c r="E172" t="s">
        <v>714</v>
      </c>
      <c r="F172">
        <v>201</v>
      </c>
      <c r="G172" t="s">
        <v>1243</v>
      </c>
      <c r="H172" t="s">
        <v>718</v>
      </c>
      <c r="I172" t="s">
        <v>79</v>
      </c>
      <c r="J172" t="s">
        <v>719</v>
      </c>
      <c r="K172" t="s">
        <v>720</v>
      </c>
      <c r="L172">
        <v>2</v>
      </c>
      <c r="M172">
        <v>2</v>
      </c>
      <c r="N172">
        <v>0</v>
      </c>
      <c r="O172">
        <v>0</v>
      </c>
      <c r="P172">
        <v>0</v>
      </c>
      <c r="Q172" t="s">
        <v>69</v>
      </c>
      <c r="R172">
        <v>2017</v>
      </c>
      <c r="S172" t="s">
        <v>70</v>
      </c>
      <c r="T172" t="s">
        <v>70</v>
      </c>
      <c r="V172">
        <v>15</v>
      </c>
      <c r="W172">
        <v>45</v>
      </c>
      <c r="X172">
        <v>21</v>
      </c>
      <c r="Y172">
        <v>75</v>
      </c>
      <c r="Z172">
        <v>6</v>
      </c>
      <c r="AA172">
        <v>1250</v>
      </c>
      <c r="AB172">
        <v>0</v>
      </c>
    </row>
    <row r="173" spans="1:61" x14ac:dyDescent="0.3">
      <c r="A173">
        <v>2</v>
      </c>
      <c r="B173" s="1">
        <v>44928</v>
      </c>
      <c r="C173" s="1">
        <v>44995</v>
      </c>
      <c r="D173">
        <v>17</v>
      </c>
      <c r="E173" t="s">
        <v>714</v>
      </c>
      <c r="F173">
        <v>202</v>
      </c>
      <c r="G173" t="s">
        <v>1244</v>
      </c>
      <c r="H173" t="s">
        <v>721</v>
      </c>
      <c r="I173" t="s">
        <v>635</v>
      </c>
      <c r="J173" t="s">
        <v>722</v>
      </c>
      <c r="K173" t="s">
        <v>723</v>
      </c>
      <c r="L173">
        <v>2</v>
      </c>
      <c r="M173">
        <v>0</v>
      </c>
      <c r="N173">
        <v>2</v>
      </c>
      <c r="O173">
        <v>0</v>
      </c>
      <c r="P173">
        <v>0</v>
      </c>
      <c r="Q173" t="s">
        <v>69</v>
      </c>
      <c r="R173">
        <v>2019</v>
      </c>
      <c r="S173" t="s">
        <v>724</v>
      </c>
      <c r="T173" t="s">
        <v>196</v>
      </c>
      <c r="V173">
        <v>5</v>
      </c>
      <c r="W173">
        <v>80</v>
      </c>
      <c r="X173">
        <v>28</v>
      </c>
      <c r="Y173">
        <v>40</v>
      </c>
      <c r="Z173">
        <v>10</v>
      </c>
      <c r="AA173">
        <v>400</v>
      </c>
      <c r="AB173">
        <v>1</v>
      </c>
      <c r="AC173">
        <v>1</v>
      </c>
      <c r="AD173">
        <v>20</v>
      </c>
      <c r="AE173">
        <v>20</v>
      </c>
      <c r="AF173">
        <v>20</v>
      </c>
      <c r="AH173">
        <v>100</v>
      </c>
      <c r="AI173">
        <v>2</v>
      </c>
      <c r="BA173">
        <v>10</v>
      </c>
      <c r="BB173">
        <v>10</v>
      </c>
      <c r="BC173">
        <v>10</v>
      </c>
      <c r="BG173">
        <v>10</v>
      </c>
      <c r="BH173">
        <v>10</v>
      </c>
      <c r="BI173">
        <v>10</v>
      </c>
    </row>
    <row r="174" spans="1:61" x14ac:dyDescent="0.3">
      <c r="A174">
        <v>2</v>
      </c>
      <c r="B174" s="1">
        <v>44928</v>
      </c>
      <c r="C174" s="1">
        <v>44995</v>
      </c>
      <c r="D174">
        <v>18</v>
      </c>
      <c r="E174" t="s">
        <v>725</v>
      </c>
      <c r="F174">
        <v>203</v>
      </c>
      <c r="G174" t="s">
        <v>726</v>
      </c>
      <c r="H174" t="s">
        <v>726</v>
      </c>
      <c r="I174" t="s">
        <v>66</v>
      </c>
      <c r="J174" t="s">
        <v>727</v>
      </c>
      <c r="L174">
        <v>1</v>
      </c>
      <c r="M174">
        <v>1</v>
      </c>
      <c r="N174">
        <v>0</v>
      </c>
      <c r="O174">
        <v>0</v>
      </c>
      <c r="P174">
        <v>0</v>
      </c>
      <c r="Q174" t="s">
        <v>69</v>
      </c>
      <c r="R174">
        <v>2022</v>
      </c>
      <c r="S174" t="s">
        <v>70</v>
      </c>
      <c r="T174" t="s">
        <v>70</v>
      </c>
      <c r="Y174">
        <v>50</v>
      </c>
      <c r="Z174">
        <v>5</v>
      </c>
      <c r="AA174">
        <v>1000</v>
      </c>
      <c r="AB174">
        <v>1</v>
      </c>
      <c r="AC174">
        <v>1</v>
      </c>
      <c r="AD174">
        <v>50</v>
      </c>
      <c r="AE174">
        <v>25</v>
      </c>
      <c r="AH174">
        <v>200</v>
      </c>
      <c r="AI174">
        <v>1</v>
      </c>
      <c r="AR174">
        <v>50</v>
      </c>
      <c r="AS174">
        <v>25</v>
      </c>
    </row>
    <row r="175" spans="1:61" x14ac:dyDescent="0.3">
      <c r="A175">
        <v>2</v>
      </c>
      <c r="B175" s="1">
        <v>44928</v>
      </c>
      <c r="C175" s="1">
        <v>44995</v>
      </c>
      <c r="D175">
        <v>18</v>
      </c>
      <c r="E175" t="s">
        <v>725</v>
      </c>
      <c r="F175">
        <v>204</v>
      </c>
      <c r="G175" t="s">
        <v>1245</v>
      </c>
      <c r="H175" t="s">
        <v>728</v>
      </c>
      <c r="I175" t="s">
        <v>182</v>
      </c>
      <c r="J175" t="s">
        <v>729</v>
      </c>
      <c r="K175" t="s">
        <v>730</v>
      </c>
      <c r="L175">
        <v>3</v>
      </c>
      <c r="M175">
        <v>3</v>
      </c>
      <c r="N175">
        <v>0</v>
      </c>
      <c r="O175">
        <v>0</v>
      </c>
      <c r="P175">
        <v>0</v>
      </c>
      <c r="Q175" t="s">
        <v>69</v>
      </c>
      <c r="R175">
        <v>2020</v>
      </c>
      <c r="S175" t="s">
        <v>190</v>
      </c>
      <c r="T175" t="s">
        <v>191</v>
      </c>
      <c r="U175">
        <v>470</v>
      </c>
      <c r="Y175">
        <v>100</v>
      </c>
      <c r="Z175">
        <v>1</v>
      </c>
      <c r="AA175">
        <v>10000</v>
      </c>
      <c r="AB175">
        <v>1</v>
      </c>
      <c r="AC175">
        <v>1</v>
      </c>
      <c r="AD175">
        <v>100</v>
      </c>
      <c r="AE175">
        <v>1</v>
      </c>
      <c r="AH175">
        <v>10000</v>
      </c>
      <c r="AI175">
        <v>1</v>
      </c>
      <c r="BA175">
        <v>100</v>
      </c>
      <c r="BB175">
        <v>1</v>
      </c>
    </row>
    <row r="176" spans="1:61" x14ac:dyDescent="0.3">
      <c r="A176">
        <v>2</v>
      </c>
      <c r="B176" s="1">
        <v>44928</v>
      </c>
      <c r="C176" s="1">
        <v>44995</v>
      </c>
      <c r="D176">
        <v>18</v>
      </c>
      <c r="E176" t="s">
        <v>725</v>
      </c>
      <c r="F176">
        <v>205</v>
      </c>
      <c r="G176" t="s">
        <v>1246</v>
      </c>
      <c r="H176" t="s">
        <v>731</v>
      </c>
      <c r="I176" t="s">
        <v>66</v>
      </c>
      <c r="J176" t="s">
        <v>732</v>
      </c>
      <c r="K176" t="s">
        <v>733</v>
      </c>
      <c r="L176">
        <v>2</v>
      </c>
      <c r="M176">
        <v>1</v>
      </c>
      <c r="N176">
        <v>1</v>
      </c>
      <c r="O176">
        <v>0</v>
      </c>
      <c r="P176">
        <v>1</v>
      </c>
      <c r="Q176" t="s">
        <v>69</v>
      </c>
      <c r="R176" t="s">
        <v>1309</v>
      </c>
      <c r="S176" t="s">
        <v>138</v>
      </c>
      <c r="T176" t="s">
        <v>99</v>
      </c>
      <c r="U176">
        <v>86</v>
      </c>
      <c r="V176">
        <v>14</v>
      </c>
      <c r="Y176">
        <v>50</v>
      </c>
      <c r="Z176">
        <v>5</v>
      </c>
      <c r="AA176">
        <v>1000</v>
      </c>
      <c r="AB176">
        <v>1</v>
      </c>
      <c r="AC176">
        <v>1</v>
      </c>
      <c r="AD176">
        <v>25</v>
      </c>
      <c r="AE176">
        <v>5</v>
      </c>
      <c r="AF176">
        <v>25</v>
      </c>
      <c r="AH176">
        <v>500</v>
      </c>
      <c r="AI176">
        <v>1</v>
      </c>
      <c r="BG176">
        <v>25</v>
      </c>
      <c r="BH176">
        <v>5</v>
      </c>
      <c r="BI176">
        <v>25</v>
      </c>
    </row>
    <row r="177" spans="1:54" x14ac:dyDescent="0.3">
      <c r="A177">
        <v>2</v>
      </c>
      <c r="B177" s="1">
        <v>44928</v>
      </c>
      <c r="C177" s="1">
        <v>44995</v>
      </c>
      <c r="D177">
        <v>18</v>
      </c>
      <c r="E177" t="s">
        <v>725</v>
      </c>
      <c r="F177">
        <v>206</v>
      </c>
      <c r="G177" t="s">
        <v>734</v>
      </c>
      <c r="H177" t="s">
        <v>734</v>
      </c>
      <c r="I177" t="s">
        <v>79</v>
      </c>
      <c r="J177" t="s">
        <v>735</v>
      </c>
      <c r="L177">
        <v>1</v>
      </c>
      <c r="M177">
        <v>1</v>
      </c>
      <c r="N177">
        <v>0</v>
      </c>
      <c r="O177">
        <v>0</v>
      </c>
      <c r="P177">
        <v>0</v>
      </c>
      <c r="Q177" t="s">
        <v>69</v>
      </c>
      <c r="R177" t="s">
        <v>1309</v>
      </c>
      <c r="S177" t="s">
        <v>185</v>
      </c>
      <c r="T177" t="s">
        <v>186</v>
      </c>
      <c r="U177">
        <v>0</v>
      </c>
      <c r="Y177">
        <v>100</v>
      </c>
      <c r="Z177">
        <v>1</v>
      </c>
      <c r="AA177">
        <v>10000</v>
      </c>
      <c r="AB177">
        <v>0</v>
      </c>
      <c r="AK177">
        <v>1</v>
      </c>
    </row>
    <row r="178" spans="1:54" x14ac:dyDescent="0.3">
      <c r="A178">
        <v>2</v>
      </c>
      <c r="B178" s="1">
        <v>44928</v>
      </c>
      <c r="C178" s="1">
        <v>44995</v>
      </c>
      <c r="D178">
        <v>19</v>
      </c>
      <c r="E178" t="s">
        <v>736</v>
      </c>
      <c r="F178">
        <v>207</v>
      </c>
      <c r="G178" t="s">
        <v>737</v>
      </c>
      <c r="H178" t="s">
        <v>737</v>
      </c>
      <c r="I178" t="s">
        <v>72</v>
      </c>
      <c r="J178" t="s">
        <v>738</v>
      </c>
      <c r="K178" t="s">
        <v>739</v>
      </c>
      <c r="L178">
        <v>1</v>
      </c>
      <c r="M178">
        <v>1</v>
      </c>
      <c r="N178">
        <v>0</v>
      </c>
      <c r="O178">
        <v>0</v>
      </c>
      <c r="P178">
        <v>0</v>
      </c>
      <c r="Q178" t="s">
        <v>69</v>
      </c>
      <c r="R178">
        <v>2018</v>
      </c>
      <c r="S178" t="s">
        <v>134</v>
      </c>
      <c r="T178" t="s">
        <v>99</v>
      </c>
      <c r="U178">
        <v>0</v>
      </c>
      <c r="Y178">
        <v>100</v>
      </c>
      <c r="Z178">
        <v>1</v>
      </c>
      <c r="AA178">
        <v>10000</v>
      </c>
      <c r="AB178">
        <v>1</v>
      </c>
      <c r="AC178">
        <v>0</v>
      </c>
    </row>
    <row r="179" spans="1:54" x14ac:dyDescent="0.3">
      <c r="A179">
        <v>2</v>
      </c>
      <c r="B179" s="1">
        <v>44928</v>
      </c>
      <c r="C179" s="1">
        <v>44995</v>
      </c>
      <c r="D179">
        <v>19</v>
      </c>
      <c r="E179" t="s">
        <v>736</v>
      </c>
      <c r="F179">
        <v>208</v>
      </c>
      <c r="G179" t="s">
        <v>1247</v>
      </c>
      <c r="H179" t="s">
        <v>740</v>
      </c>
      <c r="I179" t="s">
        <v>66</v>
      </c>
      <c r="J179" t="s">
        <v>741</v>
      </c>
      <c r="K179" t="s">
        <v>742</v>
      </c>
      <c r="L179">
        <v>3</v>
      </c>
      <c r="M179">
        <v>2</v>
      </c>
      <c r="N179">
        <v>1</v>
      </c>
      <c r="O179">
        <v>0</v>
      </c>
      <c r="P179">
        <v>0</v>
      </c>
      <c r="Q179" t="s">
        <v>69</v>
      </c>
      <c r="R179">
        <v>2019</v>
      </c>
      <c r="S179" t="s">
        <v>134</v>
      </c>
      <c r="T179" t="s">
        <v>99</v>
      </c>
      <c r="U179">
        <v>410</v>
      </c>
      <c r="V179">
        <v>57</v>
      </c>
      <c r="Y179">
        <v>70</v>
      </c>
      <c r="Z179">
        <v>2</v>
      </c>
      <c r="AA179">
        <v>3500</v>
      </c>
      <c r="AB179">
        <v>1</v>
      </c>
      <c r="AC179">
        <v>1</v>
      </c>
      <c r="AD179">
        <v>70</v>
      </c>
      <c r="AE179">
        <v>5</v>
      </c>
      <c r="AH179">
        <v>1400</v>
      </c>
      <c r="AI179">
        <v>1</v>
      </c>
      <c r="AO179">
        <v>70</v>
      </c>
      <c r="AP179">
        <v>5</v>
      </c>
    </row>
    <row r="180" spans="1:54" x14ac:dyDescent="0.3">
      <c r="A180">
        <v>2</v>
      </c>
      <c r="B180" s="1">
        <v>44928</v>
      </c>
      <c r="C180" s="1">
        <v>44995</v>
      </c>
      <c r="D180">
        <v>19</v>
      </c>
      <c r="E180" t="s">
        <v>736</v>
      </c>
      <c r="F180">
        <v>209</v>
      </c>
      <c r="G180" t="s">
        <v>743</v>
      </c>
      <c r="H180" t="s">
        <v>743</v>
      </c>
      <c r="I180" t="s">
        <v>225</v>
      </c>
      <c r="J180" t="s">
        <v>744</v>
      </c>
      <c r="K180" t="s">
        <v>745</v>
      </c>
      <c r="L180">
        <v>3</v>
      </c>
      <c r="M180">
        <v>3</v>
      </c>
      <c r="N180">
        <v>0</v>
      </c>
      <c r="O180">
        <v>0</v>
      </c>
      <c r="P180">
        <v>0</v>
      </c>
      <c r="Q180" t="s">
        <v>69</v>
      </c>
      <c r="R180" t="s">
        <v>1309</v>
      </c>
      <c r="S180" t="s">
        <v>76</v>
      </c>
      <c r="T180" t="s">
        <v>77</v>
      </c>
      <c r="U180">
        <v>-1</v>
      </c>
      <c r="Y180">
        <v>75</v>
      </c>
      <c r="Z180">
        <v>1.5</v>
      </c>
      <c r="AA180">
        <v>5000</v>
      </c>
      <c r="AB180">
        <v>1</v>
      </c>
      <c r="AC180">
        <v>1</v>
      </c>
      <c r="AD180">
        <v>75</v>
      </c>
      <c r="AE180">
        <v>2.86</v>
      </c>
      <c r="AH180">
        <v>2622.377622</v>
      </c>
      <c r="AI180">
        <v>2</v>
      </c>
      <c r="AX180">
        <v>37.5</v>
      </c>
      <c r="AY180">
        <v>1.43</v>
      </c>
      <c r="BA180">
        <v>37.5</v>
      </c>
      <c r="BB180">
        <v>1.43</v>
      </c>
    </row>
    <row r="181" spans="1:54" x14ac:dyDescent="0.3">
      <c r="A181">
        <v>2</v>
      </c>
      <c r="B181" s="1">
        <v>44928</v>
      </c>
      <c r="C181" s="1">
        <v>44995</v>
      </c>
      <c r="D181">
        <v>20</v>
      </c>
      <c r="E181" t="s">
        <v>746</v>
      </c>
      <c r="F181">
        <v>210</v>
      </c>
      <c r="G181" t="s">
        <v>747</v>
      </c>
      <c r="H181" t="s">
        <v>747</v>
      </c>
      <c r="I181" t="s">
        <v>79</v>
      </c>
      <c r="J181" t="s">
        <v>748</v>
      </c>
      <c r="K181" t="s">
        <v>749</v>
      </c>
      <c r="L181">
        <v>1</v>
      </c>
      <c r="M181">
        <v>1</v>
      </c>
      <c r="N181">
        <v>0</v>
      </c>
      <c r="O181">
        <v>0</v>
      </c>
      <c r="P181">
        <v>0</v>
      </c>
      <c r="Q181" t="s">
        <v>69</v>
      </c>
      <c r="R181">
        <v>2020</v>
      </c>
      <c r="S181" t="s">
        <v>86</v>
      </c>
      <c r="T181" t="s">
        <v>87</v>
      </c>
      <c r="Y181">
        <v>150</v>
      </c>
      <c r="Z181">
        <v>0.5</v>
      </c>
      <c r="AA181">
        <v>30000</v>
      </c>
      <c r="AB181">
        <v>1</v>
      </c>
      <c r="AC181">
        <v>1</v>
      </c>
      <c r="AD181">
        <v>150</v>
      </c>
      <c r="AE181">
        <v>1.5</v>
      </c>
      <c r="AH181">
        <v>10000</v>
      </c>
      <c r="AI181">
        <v>5</v>
      </c>
      <c r="AO181">
        <v>30</v>
      </c>
      <c r="AP181">
        <v>0.3</v>
      </c>
      <c r="AR181">
        <v>30</v>
      </c>
      <c r="AS181">
        <v>0.3</v>
      </c>
      <c r="AU181">
        <v>30</v>
      </c>
      <c r="AV181">
        <v>0.3</v>
      </c>
      <c r="AX181">
        <v>30</v>
      </c>
      <c r="AY181">
        <v>0.3</v>
      </c>
      <c r="BA181">
        <v>30</v>
      </c>
      <c r="BB181">
        <v>0.3</v>
      </c>
    </row>
    <row r="182" spans="1:54" x14ac:dyDescent="0.3">
      <c r="A182">
        <v>2</v>
      </c>
      <c r="B182" s="1">
        <v>44928</v>
      </c>
      <c r="C182" s="1">
        <v>44995</v>
      </c>
      <c r="D182">
        <v>20</v>
      </c>
      <c r="E182" t="s">
        <v>746</v>
      </c>
      <c r="F182">
        <v>211</v>
      </c>
      <c r="G182" t="s">
        <v>750</v>
      </c>
      <c r="H182" t="s">
        <v>750</v>
      </c>
      <c r="I182" t="s">
        <v>286</v>
      </c>
      <c r="J182" t="s">
        <v>751</v>
      </c>
      <c r="K182" t="s">
        <v>752</v>
      </c>
      <c r="L182">
        <v>3</v>
      </c>
      <c r="M182">
        <v>3</v>
      </c>
      <c r="N182">
        <v>0</v>
      </c>
      <c r="O182">
        <v>0</v>
      </c>
      <c r="P182">
        <v>0</v>
      </c>
      <c r="Q182" t="s">
        <v>69</v>
      </c>
      <c r="R182" t="s">
        <v>1309</v>
      </c>
      <c r="S182" t="s">
        <v>143</v>
      </c>
      <c r="T182" t="s">
        <v>144</v>
      </c>
      <c r="W182">
        <v>45</v>
      </c>
      <c r="Y182">
        <v>150</v>
      </c>
      <c r="Z182">
        <v>1</v>
      </c>
      <c r="AA182">
        <v>15000</v>
      </c>
      <c r="AB182">
        <v>1</v>
      </c>
      <c r="AC182">
        <v>1</v>
      </c>
      <c r="AD182">
        <v>150</v>
      </c>
      <c r="AE182">
        <v>2.5</v>
      </c>
      <c r="AH182">
        <v>6000</v>
      </c>
      <c r="AI182">
        <v>3</v>
      </c>
      <c r="AO182">
        <v>50</v>
      </c>
      <c r="AP182">
        <v>0.83299999999999996</v>
      </c>
      <c r="AX182">
        <v>50</v>
      </c>
      <c r="AY182">
        <v>0.83299999999999996</v>
      </c>
      <c r="BA182">
        <v>50</v>
      </c>
      <c r="BB182">
        <v>0.83299999999999996</v>
      </c>
    </row>
    <row r="183" spans="1:54" x14ac:dyDescent="0.3">
      <c r="A183">
        <v>2</v>
      </c>
      <c r="B183" s="1">
        <v>44928</v>
      </c>
      <c r="C183" s="1">
        <v>44995</v>
      </c>
      <c r="D183">
        <v>20</v>
      </c>
      <c r="E183" t="s">
        <v>746</v>
      </c>
      <c r="F183">
        <v>212</v>
      </c>
      <c r="G183" t="s">
        <v>1248</v>
      </c>
      <c r="H183" t="s">
        <v>753</v>
      </c>
      <c r="I183" t="s">
        <v>79</v>
      </c>
      <c r="J183" t="s">
        <v>754</v>
      </c>
      <c r="K183" t="s">
        <v>755</v>
      </c>
      <c r="L183">
        <v>1</v>
      </c>
      <c r="M183">
        <v>0</v>
      </c>
      <c r="N183">
        <v>1</v>
      </c>
      <c r="O183">
        <v>0</v>
      </c>
      <c r="P183">
        <v>0</v>
      </c>
      <c r="Q183" t="s">
        <v>69</v>
      </c>
      <c r="R183" t="s">
        <v>1309</v>
      </c>
      <c r="S183" t="s">
        <v>86</v>
      </c>
      <c r="T183" t="s">
        <v>87</v>
      </c>
      <c r="V183">
        <v>14</v>
      </c>
      <c r="Y183">
        <v>20</v>
      </c>
      <c r="Z183">
        <v>1</v>
      </c>
      <c r="AA183">
        <v>2000</v>
      </c>
      <c r="AB183">
        <v>0</v>
      </c>
    </row>
    <row r="184" spans="1:54" x14ac:dyDescent="0.3">
      <c r="A184">
        <v>2</v>
      </c>
      <c r="B184" s="1">
        <v>44928</v>
      </c>
      <c r="C184" s="1">
        <v>44995</v>
      </c>
      <c r="D184">
        <v>21</v>
      </c>
      <c r="E184" t="s">
        <v>756</v>
      </c>
      <c r="F184">
        <v>213</v>
      </c>
      <c r="G184" t="s">
        <v>1249</v>
      </c>
      <c r="H184" t="s">
        <v>757</v>
      </c>
      <c r="I184" t="s">
        <v>66</v>
      </c>
      <c r="J184" t="s">
        <v>758</v>
      </c>
      <c r="K184" t="s">
        <v>759</v>
      </c>
      <c r="L184">
        <v>2</v>
      </c>
      <c r="M184">
        <v>1</v>
      </c>
      <c r="N184">
        <v>1</v>
      </c>
      <c r="O184">
        <v>0</v>
      </c>
      <c r="P184">
        <v>1</v>
      </c>
      <c r="Q184" t="s">
        <v>69</v>
      </c>
      <c r="R184">
        <v>2018</v>
      </c>
      <c r="S184" t="s">
        <v>70</v>
      </c>
      <c r="T184" t="s">
        <v>70</v>
      </c>
      <c r="V184">
        <v>194</v>
      </c>
      <c r="Y184">
        <v>100</v>
      </c>
      <c r="Z184">
        <v>2</v>
      </c>
      <c r="AA184">
        <v>5000</v>
      </c>
      <c r="AB184">
        <v>1</v>
      </c>
      <c r="AC184">
        <v>0</v>
      </c>
    </row>
    <row r="185" spans="1:54" x14ac:dyDescent="0.3">
      <c r="A185">
        <v>2</v>
      </c>
      <c r="B185" s="1">
        <v>44928</v>
      </c>
      <c r="C185" s="1">
        <v>44995</v>
      </c>
      <c r="D185">
        <v>21</v>
      </c>
      <c r="E185" t="s">
        <v>756</v>
      </c>
      <c r="F185">
        <v>214</v>
      </c>
      <c r="G185" t="s">
        <v>760</v>
      </c>
      <c r="H185" t="s">
        <v>760</v>
      </c>
      <c r="I185" t="s">
        <v>182</v>
      </c>
      <c r="J185" t="s">
        <v>761</v>
      </c>
      <c r="K185" t="s">
        <v>762</v>
      </c>
      <c r="L185">
        <v>2</v>
      </c>
      <c r="M185">
        <v>0</v>
      </c>
      <c r="N185">
        <v>2</v>
      </c>
      <c r="O185">
        <v>0</v>
      </c>
      <c r="P185">
        <v>0</v>
      </c>
      <c r="Q185" t="s">
        <v>69</v>
      </c>
      <c r="R185" t="s">
        <v>1309</v>
      </c>
      <c r="S185" t="s">
        <v>86</v>
      </c>
      <c r="T185" t="s">
        <v>87</v>
      </c>
      <c r="U185">
        <v>33</v>
      </c>
      <c r="V185">
        <v>8.6999999999999993</v>
      </c>
      <c r="W185">
        <v>75</v>
      </c>
      <c r="Y185">
        <v>50</v>
      </c>
      <c r="Z185">
        <v>10</v>
      </c>
      <c r="AA185">
        <v>500</v>
      </c>
      <c r="AB185">
        <v>1</v>
      </c>
      <c r="AC185">
        <v>1</v>
      </c>
      <c r="AD185">
        <v>15</v>
      </c>
      <c r="AE185">
        <v>10</v>
      </c>
      <c r="AF185">
        <v>35</v>
      </c>
      <c r="AG185">
        <v>0</v>
      </c>
      <c r="AH185">
        <v>150</v>
      </c>
      <c r="AI185">
        <v>1</v>
      </c>
      <c r="AX185">
        <v>15</v>
      </c>
      <c r="AY185">
        <v>10</v>
      </c>
      <c r="AZ185">
        <v>35</v>
      </c>
    </row>
    <row r="186" spans="1:54" x14ac:dyDescent="0.3">
      <c r="A186">
        <v>2</v>
      </c>
      <c r="B186" s="1">
        <v>44928</v>
      </c>
      <c r="C186" s="1">
        <v>44995</v>
      </c>
      <c r="D186">
        <v>21</v>
      </c>
      <c r="E186" t="s">
        <v>756</v>
      </c>
      <c r="F186">
        <v>215</v>
      </c>
      <c r="G186" t="s">
        <v>1250</v>
      </c>
      <c r="H186" t="s">
        <v>763</v>
      </c>
      <c r="I186" t="s">
        <v>286</v>
      </c>
      <c r="J186" t="s">
        <v>764</v>
      </c>
      <c r="K186" t="s">
        <v>765</v>
      </c>
      <c r="L186">
        <v>3</v>
      </c>
      <c r="M186">
        <v>2</v>
      </c>
      <c r="N186">
        <v>1</v>
      </c>
      <c r="O186">
        <v>0</v>
      </c>
      <c r="P186">
        <v>1</v>
      </c>
      <c r="Q186" t="s">
        <v>69</v>
      </c>
      <c r="R186" t="s">
        <v>1309</v>
      </c>
      <c r="S186" t="s">
        <v>766</v>
      </c>
      <c r="T186" t="s">
        <v>767</v>
      </c>
      <c r="U186">
        <v>-1</v>
      </c>
      <c r="V186">
        <v>34</v>
      </c>
      <c r="Y186">
        <v>100</v>
      </c>
      <c r="Z186">
        <v>1.4</v>
      </c>
      <c r="AA186">
        <v>7142.8571430000002</v>
      </c>
      <c r="AB186">
        <v>0</v>
      </c>
    </row>
    <row r="187" spans="1:54" x14ac:dyDescent="0.3">
      <c r="A187">
        <v>2</v>
      </c>
      <c r="B187" s="1">
        <v>44928</v>
      </c>
      <c r="C187" s="1">
        <v>44995</v>
      </c>
      <c r="D187">
        <v>21</v>
      </c>
      <c r="E187" t="s">
        <v>756</v>
      </c>
      <c r="F187">
        <v>216</v>
      </c>
      <c r="G187" t="s">
        <v>1251</v>
      </c>
      <c r="H187" t="s">
        <v>768</v>
      </c>
      <c r="I187" t="s">
        <v>286</v>
      </c>
      <c r="J187" t="s">
        <v>769</v>
      </c>
      <c r="K187" t="s">
        <v>770</v>
      </c>
      <c r="L187">
        <v>3</v>
      </c>
      <c r="M187">
        <v>1</v>
      </c>
      <c r="N187">
        <v>1</v>
      </c>
      <c r="O187">
        <v>1</v>
      </c>
      <c r="P187">
        <v>0</v>
      </c>
      <c r="Q187" t="s">
        <v>69</v>
      </c>
      <c r="R187" t="s">
        <v>1309</v>
      </c>
      <c r="S187" t="s">
        <v>417</v>
      </c>
      <c r="T187" t="s">
        <v>345</v>
      </c>
      <c r="U187">
        <v>50</v>
      </c>
      <c r="V187">
        <v>6</v>
      </c>
      <c r="Y187">
        <v>100</v>
      </c>
      <c r="Z187">
        <v>10</v>
      </c>
      <c r="AA187">
        <v>1000</v>
      </c>
      <c r="AB187">
        <v>1</v>
      </c>
      <c r="AC187">
        <v>0</v>
      </c>
    </row>
    <row r="188" spans="1:54" x14ac:dyDescent="0.3">
      <c r="A188">
        <v>2</v>
      </c>
      <c r="B188" s="1">
        <v>44928</v>
      </c>
      <c r="C188" s="1">
        <v>44995</v>
      </c>
      <c r="D188">
        <v>22</v>
      </c>
      <c r="E188" t="s">
        <v>771</v>
      </c>
      <c r="F188">
        <v>217</v>
      </c>
      <c r="G188" t="s">
        <v>772</v>
      </c>
      <c r="H188" t="s">
        <v>772</v>
      </c>
      <c r="I188" t="s">
        <v>286</v>
      </c>
      <c r="J188" t="s">
        <v>773</v>
      </c>
      <c r="K188" t="s">
        <v>774</v>
      </c>
      <c r="L188">
        <v>3</v>
      </c>
      <c r="M188">
        <v>2</v>
      </c>
      <c r="N188">
        <v>1</v>
      </c>
      <c r="O188">
        <v>0</v>
      </c>
      <c r="P188">
        <v>0</v>
      </c>
      <c r="Q188" t="s">
        <v>69</v>
      </c>
      <c r="R188" t="s">
        <v>1309</v>
      </c>
      <c r="S188" t="s">
        <v>70</v>
      </c>
      <c r="T188" t="s">
        <v>70</v>
      </c>
      <c r="Y188">
        <v>80</v>
      </c>
      <c r="Z188">
        <v>2</v>
      </c>
      <c r="AA188">
        <v>4000</v>
      </c>
      <c r="AB188">
        <v>1</v>
      </c>
      <c r="AC188">
        <v>1</v>
      </c>
      <c r="AD188">
        <v>100</v>
      </c>
      <c r="AE188">
        <v>3</v>
      </c>
      <c r="AH188">
        <v>3333.333333</v>
      </c>
      <c r="AI188">
        <v>3</v>
      </c>
      <c r="AO188">
        <v>33.33</v>
      </c>
      <c r="AP188">
        <v>1</v>
      </c>
      <c r="AX188">
        <v>33.33</v>
      </c>
      <c r="AY188">
        <v>1</v>
      </c>
      <c r="BA188">
        <v>33.33</v>
      </c>
      <c r="BB188">
        <v>1</v>
      </c>
    </row>
    <row r="189" spans="1:54" x14ac:dyDescent="0.3">
      <c r="A189">
        <v>2</v>
      </c>
      <c r="B189" s="1">
        <v>44928</v>
      </c>
      <c r="C189" s="1">
        <v>44995</v>
      </c>
      <c r="D189">
        <v>22</v>
      </c>
      <c r="E189" t="s">
        <v>771</v>
      </c>
      <c r="F189">
        <v>218</v>
      </c>
      <c r="G189" t="s">
        <v>775</v>
      </c>
      <c r="H189" t="s">
        <v>775</v>
      </c>
      <c r="I189" t="s">
        <v>79</v>
      </c>
      <c r="J189" t="s">
        <v>776</v>
      </c>
      <c r="K189" t="s">
        <v>777</v>
      </c>
      <c r="L189">
        <v>1</v>
      </c>
      <c r="M189">
        <v>1</v>
      </c>
      <c r="N189">
        <v>0</v>
      </c>
      <c r="O189">
        <v>0</v>
      </c>
      <c r="P189">
        <v>0</v>
      </c>
      <c r="Q189" t="s">
        <v>69</v>
      </c>
      <c r="R189">
        <v>2021</v>
      </c>
      <c r="S189" t="s">
        <v>690</v>
      </c>
      <c r="T189" t="s">
        <v>99</v>
      </c>
      <c r="V189">
        <v>40</v>
      </c>
      <c r="Y189">
        <v>75</v>
      </c>
      <c r="Z189">
        <v>2.5</v>
      </c>
      <c r="AA189">
        <v>3000</v>
      </c>
      <c r="AB189">
        <v>1</v>
      </c>
      <c r="AC189">
        <v>1</v>
      </c>
      <c r="AD189">
        <v>75</v>
      </c>
      <c r="AE189">
        <v>10</v>
      </c>
      <c r="AH189">
        <v>750</v>
      </c>
      <c r="AI189">
        <v>1</v>
      </c>
      <c r="AR189">
        <v>75</v>
      </c>
      <c r="AS189">
        <v>10</v>
      </c>
    </row>
    <row r="190" spans="1:54" x14ac:dyDescent="0.3">
      <c r="A190">
        <v>2</v>
      </c>
      <c r="B190" s="1">
        <v>44928</v>
      </c>
      <c r="C190" s="1">
        <v>44995</v>
      </c>
      <c r="D190">
        <v>22</v>
      </c>
      <c r="E190" t="s">
        <v>771</v>
      </c>
      <c r="F190">
        <v>219</v>
      </c>
      <c r="G190" t="s">
        <v>1252</v>
      </c>
      <c r="H190" t="s">
        <v>778</v>
      </c>
      <c r="I190" t="s">
        <v>66</v>
      </c>
      <c r="J190" t="s">
        <v>779</v>
      </c>
      <c r="K190" t="s">
        <v>780</v>
      </c>
      <c r="L190">
        <v>2</v>
      </c>
      <c r="M190">
        <v>2</v>
      </c>
      <c r="N190">
        <v>0</v>
      </c>
      <c r="O190">
        <v>0</v>
      </c>
      <c r="P190">
        <v>0</v>
      </c>
      <c r="Q190" t="s">
        <v>69</v>
      </c>
      <c r="R190" t="s">
        <v>1309</v>
      </c>
      <c r="S190" t="s">
        <v>76</v>
      </c>
      <c r="T190" t="s">
        <v>77</v>
      </c>
      <c r="U190">
        <v>53</v>
      </c>
      <c r="W190">
        <v>20</v>
      </c>
      <c r="Y190">
        <v>75</v>
      </c>
      <c r="Z190">
        <v>7.5</v>
      </c>
      <c r="AA190">
        <v>1000</v>
      </c>
      <c r="AB190">
        <v>1</v>
      </c>
      <c r="AC190">
        <v>1</v>
      </c>
      <c r="AD190">
        <v>50</v>
      </c>
      <c r="AE190">
        <v>20</v>
      </c>
      <c r="AF190">
        <v>25</v>
      </c>
      <c r="AG190">
        <v>12</v>
      </c>
      <c r="AH190">
        <v>250</v>
      </c>
      <c r="AI190">
        <v>2</v>
      </c>
      <c r="AR190">
        <v>25</v>
      </c>
      <c r="AS190">
        <v>10</v>
      </c>
      <c r="AT190">
        <v>12.5</v>
      </c>
      <c r="AU190">
        <v>25</v>
      </c>
      <c r="AV190">
        <v>10</v>
      </c>
      <c r="AW190">
        <v>12.5</v>
      </c>
    </row>
    <row r="191" spans="1:54" x14ac:dyDescent="0.3">
      <c r="A191">
        <v>2</v>
      </c>
      <c r="B191" s="1">
        <v>44928</v>
      </c>
      <c r="C191" s="1">
        <v>44995</v>
      </c>
      <c r="D191">
        <v>23</v>
      </c>
      <c r="E191" t="s">
        <v>781</v>
      </c>
      <c r="F191">
        <v>220</v>
      </c>
      <c r="G191" t="s">
        <v>1253</v>
      </c>
      <c r="H191" t="s">
        <v>782</v>
      </c>
      <c r="I191" t="s">
        <v>182</v>
      </c>
      <c r="J191" t="s">
        <v>783</v>
      </c>
      <c r="K191" t="s">
        <v>784</v>
      </c>
      <c r="L191">
        <v>1</v>
      </c>
      <c r="M191">
        <v>1</v>
      </c>
      <c r="N191">
        <v>0</v>
      </c>
      <c r="O191">
        <v>0</v>
      </c>
      <c r="P191">
        <v>0</v>
      </c>
      <c r="Q191" t="s">
        <v>75</v>
      </c>
      <c r="R191" t="s">
        <v>1309</v>
      </c>
      <c r="S191" t="s">
        <v>165</v>
      </c>
      <c r="T191" t="s">
        <v>99</v>
      </c>
      <c r="U191">
        <v>-1</v>
      </c>
      <c r="V191">
        <v>14</v>
      </c>
      <c r="Y191">
        <v>50</v>
      </c>
      <c r="Z191">
        <v>2</v>
      </c>
      <c r="AA191">
        <v>2500</v>
      </c>
      <c r="AB191">
        <v>1</v>
      </c>
      <c r="AC191">
        <v>1</v>
      </c>
      <c r="AD191">
        <v>100</v>
      </c>
      <c r="AE191">
        <v>4</v>
      </c>
      <c r="AH191">
        <v>2500</v>
      </c>
      <c r="AI191">
        <v>4</v>
      </c>
      <c r="AO191">
        <v>25</v>
      </c>
      <c r="AP191">
        <v>1</v>
      </c>
      <c r="AR191">
        <v>25</v>
      </c>
      <c r="AS191">
        <v>1</v>
      </c>
      <c r="AU191">
        <v>25</v>
      </c>
      <c r="AV191">
        <v>1</v>
      </c>
      <c r="BA191">
        <v>25</v>
      </c>
      <c r="BB191">
        <v>1</v>
      </c>
    </row>
    <row r="192" spans="1:54" x14ac:dyDescent="0.3">
      <c r="A192">
        <v>2</v>
      </c>
      <c r="B192" s="1">
        <v>44928</v>
      </c>
      <c r="C192" s="1">
        <v>44995</v>
      </c>
      <c r="D192">
        <v>23</v>
      </c>
      <c r="E192" t="s">
        <v>781</v>
      </c>
      <c r="F192">
        <v>221</v>
      </c>
      <c r="G192" t="s">
        <v>1254</v>
      </c>
      <c r="H192" t="s">
        <v>785</v>
      </c>
      <c r="I192" t="s">
        <v>635</v>
      </c>
      <c r="J192" t="s">
        <v>786</v>
      </c>
      <c r="K192" t="s">
        <v>787</v>
      </c>
      <c r="L192">
        <v>3</v>
      </c>
      <c r="M192">
        <v>1</v>
      </c>
      <c r="N192">
        <v>2</v>
      </c>
      <c r="O192">
        <v>0</v>
      </c>
      <c r="P192">
        <v>0</v>
      </c>
      <c r="Q192" t="s">
        <v>69</v>
      </c>
      <c r="R192">
        <v>2020</v>
      </c>
      <c r="S192" t="s">
        <v>788</v>
      </c>
      <c r="T192" t="s">
        <v>196</v>
      </c>
      <c r="U192">
        <v>120</v>
      </c>
      <c r="V192">
        <v>28</v>
      </c>
      <c r="W192">
        <v>60</v>
      </c>
      <c r="Y192">
        <v>50</v>
      </c>
      <c r="Z192">
        <v>5</v>
      </c>
      <c r="AA192">
        <v>1000</v>
      </c>
      <c r="AB192">
        <v>1</v>
      </c>
      <c r="AC192">
        <v>1</v>
      </c>
      <c r="AD192">
        <v>25</v>
      </c>
      <c r="AE192">
        <v>5</v>
      </c>
      <c r="AF192">
        <v>25</v>
      </c>
      <c r="AG192">
        <v>12</v>
      </c>
      <c r="AH192">
        <v>500</v>
      </c>
      <c r="AI192">
        <v>2</v>
      </c>
      <c r="AO192">
        <v>12.5</v>
      </c>
      <c r="AP192">
        <v>2.5</v>
      </c>
      <c r="AQ192">
        <v>12.5</v>
      </c>
      <c r="AU192">
        <v>12.5</v>
      </c>
      <c r="AV192">
        <v>2.5</v>
      </c>
      <c r="AW192">
        <v>12.5</v>
      </c>
    </row>
    <row r="193" spans="1:60" x14ac:dyDescent="0.3">
      <c r="A193">
        <v>2</v>
      </c>
      <c r="B193" s="1">
        <v>44928</v>
      </c>
      <c r="C193" s="1">
        <v>44995</v>
      </c>
      <c r="D193">
        <v>23</v>
      </c>
      <c r="E193" t="s">
        <v>781</v>
      </c>
      <c r="F193">
        <v>222</v>
      </c>
      <c r="G193" t="s">
        <v>789</v>
      </c>
      <c r="H193" t="s">
        <v>789</v>
      </c>
      <c r="I193" t="s">
        <v>225</v>
      </c>
      <c r="J193" t="s">
        <v>790</v>
      </c>
      <c r="K193" t="s">
        <v>791</v>
      </c>
      <c r="L193">
        <v>1</v>
      </c>
      <c r="M193">
        <v>1</v>
      </c>
      <c r="N193">
        <v>0</v>
      </c>
      <c r="O193">
        <v>0</v>
      </c>
      <c r="P193">
        <v>0</v>
      </c>
      <c r="Q193" t="s">
        <v>75</v>
      </c>
      <c r="R193" t="s">
        <v>1309</v>
      </c>
      <c r="S193" t="s">
        <v>134</v>
      </c>
      <c r="T193" t="s">
        <v>99</v>
      </c>
      <c r="Y193">
        <v>30</v>
      </c>
      <c r="Z193">
        <v>2</v>
      </c>
      <c r="AA193">
        <v>1500</v>
      </c>
      <c r="AB193">
        <v>1</v>
      </c>
      <c r="AC193">
        <v>1</v>
      </c>
      <c r="AD193">
        <v>30</v>
      </c>
      <c r="AE193">
        <v>5</v>
      </c>
      <c r="AH193">
        <v>600</v>
      </c>
      <c r="AI193">
        <v>2</v>
      </c>
      <c r="AU193">
        <v>15</v>
      </c>
      <c r="AV193">
        <v>2.5</v>
      </c>
      <c r="BA193">
        <v>15</v>
      </c>
      <c r="BB193">
        <v>2.5</v>
      </c>
    </row>
    <row r="194" spans="1:60" x14ac:dyDescent="0.3">
      <c r="A194">
        <v>2</v>
      </c>
      <c r="B194" s="1">
        <v>44928</v>
      </c>
      <c r="C194" s="1">
        <v>44995</v>
      </c>
      <c r="D194">
        <v>23</v>
      </c>
      <c r="E194" t="s">
        <v>781</v>
      </c>
      <c r="F194">
        <v>223</v>
      </c>
      <c r="G194" t="s">
        <v>792</v>
      </c>
      <c r="H194" t="s">
        <v>792</v>
      </c>
      <c r="I194" t="s">
        <v>173</v>
      </c>
      <c r="J194" t="s">
        <v>793</v>
      </c>
      <c r="K194" t="s">
        <v>794</v>
      </c>
      <c r="L194">
        <v>2</v>
      </c>
      <c r="M194">
        <v>2</v>
      </c>
      <c r="N194">
        <v>0</v>
      </c>
      <c r="O194">
        <v>0</v>
      </c>
      <c r="P194">
        <v>0</v>
      </c>
      <c r="Q194" t="s">
        <v>69</v>
      </c>
      <c r="R194" t="s">
        <v>1309</v>
      </c>
      <c r="S194" t="s">
        <v>795</v>
      </c>
      <c r="T194" t="s">
        <v>93</v>
      </c>
      <c r="U194">
        <v>110</v>
      </c>
      <c r="V194">
        <v>12</v>
      </c>
      <c r="X194">
        <v>20</v>
      </c>
      <c r="Y194">
        <v>100</v>
      </c>
      <c r="Z194">
        <v>2.5</v>
      </c>
      <c r="AA194">
        <v>4000</v>
      </c>
      <c r="AB194">
        <v>0</v>
      </c>
    </row>
    <row r="195" spans="1:60" x14ac:dyDescent="0.3">
      <c r="A195">
        <v>2</v>
      </c>
      <c r="B195" s="1">
        <v>44928</v>
      </c>
      <c r="C195" s="1">
        <v>44995</v>
      </c>
      <c r="D195">
        <v>24</v>
      </c>
      <c r="E195" t="s">
        <v>796</v>
      </c>
      <c r="F195">
        <v>224</v>
      </c>
      <c r="G195" t="s">
        <v>797</v>
      </c>
      <c r="H195" t="s">
        <v>797</v>
      </c>
      <c r="I195" t="s">
        <v>72</v>
      </c>
      <c r="J195" t="s">
        <v>798</v>
      </c>
      <c r="L195">
        <v>3</v>
      </c>
      <c r="M195">
        <v>2</v>
      </c>
      <c r="N195">
        <v>1</v>
      </c>
      <c r="O195">
        <v>0</v>
      </c>
      <c r="P195">
        <v>0</v>
      </c>
      <c r="Q195" t="s">
        <v>69</v>
      </c>
      <c r="R195" t="s">
        <v>1309</v>
      </c>
      <c r="S195" t="s">
        <v>76</v>
      </c>
      <c r="T195" t="s">
        <v>77</v>
      </c>
      <c r="Y195">
        <v>75</v>
      </c>
      <c r="Z195">
        <v>7.5</v>
      </c>
      <c r="AA195">
        <v>1000</v>
      </c>
      <c r="AB195">
        <v>1</v>
      </c>
      <c r="AC195">
        <v>1</v>
      </c>
      <c r="AD195">
        <v>100</v>
      </c>
      <c r="AE195">
        <v>10</v>
      </c>
      <c r="AH195">
        <v>1000</v>
      </c>
      <c r="AI195">
        <v>3</v>
      </c>
      <c r="AR195">
        <v>33.33</v>
      </c>
      <c r="AS195">
        <v>3.33</v>
      </c>
      <c r="AU195">
        <v>33.33</v>
      </c>
      <c r="AV195">
        <v>3.33</v>
      </c>
      <c r="AX195">
        <v>33.33</v>
      </c>
      <c r="AY195">
        <v>3.33</v>
      </c>
    </row>
    <row r="196" spans="1:60" x14ac:dyDescent="0.3">
      <c r="A196">
        <v>2</v>
      </c>
      <c r="B196" s="1">
        <v>44928</v>
      </c>
      <c r="C196" s="1">
        <v>44995</v>
      </c>
      <c r="D196">
        <v>24</v>
      </c>
      <c r="E196" t="s">
        <v>796</v>
      </c>
      <c r="F196">
        <v>225</v>
      </c>
      <c r="G196" t="s">
        <v>799</v>
      </c>
      <c r="H196" t="s">
        <v>799</v>
      </c>
      <c r="I196" t="s">
        <v>66</v>
      </c>
      <c r="J196" t="s">
        <v>800</v>
      </c>
      <c r="K196" t="s">
        <v>801</v>
      </c>
      <c r="L196">
        <v>2</v>
      </c>
      <c r="M196">
        <v>2</v>
      </c>
      <c r="N196">
        <v>0</v>
      </c>
      <c r="O196">
        <v>0</v>
      </c>
      <c r="P196">
        <v>0</v>
      </c>
      <c r="Q196" t="s">
        <v>69</v>
      </c>
      <c r="R196" t="s">
        <v>1309</v>
      </c>
      <c r="S196" t="s">
        <v>802</v>
      </c>
      <c r="T196" t="s">
        <v>803</v>
      </c>
      <c r="Y196">
        <v>75</v>
      </c>
      <c r="Z196">
        <v>4</v>
      </c>
      <c r="AA196">
        <v>1875</v>
      </c>
      <c r="AB196">
        <v>1</v>
      </c>
      <c r="AC196">
        <v>1</v>
      </c>
      <c r="AD196">
        <v>75</v>
      </c>
      <c r="AE196">
        <v>7.5</v>
      </c>
      <c r="AH196">
        <v>1000</v>
      </c>
      <c r="AI196">
        <v>1</v>
      </c>
      <c r="AJ196" t="s">
        <v>804</v>
      </c>
      <c r="AR196">
        <v>75</v>
      </c>
      <c r="AS196">
        <v>7.5</v>
      </c>
    </row>
    <row r="197" spans="1:60" x14ac:dyDescent="0.3">
      <c r="A197">
        <v>2</v>
      </c>
      <c r="B197" s="1">
        <v>44928</v>
      </c>
      <c r="C197" s="1">
        <v>44995</v>
      </c>
      <c r="D197">
        <v>24</v>
      </c>
      <c r="E197" t="s">
        <v>796</v>
      </c>
      <c r="F197">
        <v>226</v>
      </c>
      <c r="G197" t="s">
        <v>1255</v>
      </c>
      <c r="H197" t="s">
        <v>805</v>
      </c>
      <c r="I197" t="s">
        <v>79</v>
      </c>
      <c r="J197" t="s">
        <v>806</v>
      </c>
      <c r="K197" t="s">
        <v>807</v>
      </c>
      <c r="L197">
        <v>1</v>
      </c>
      <c r="M197">
        <v>1</v>
      </c>
      <c r="N197">
        <v>0</v>
      </c>
      <c r="O197">
        <v>0</v>
      </c>
      <c r="P197">
        <v>0</v>
      </c>
      <c r="Q197" t="s">
        <v>69</v>
      </c>
      <c r="R197" t="s">
        <v>1309</v>
      </c>
      <c r="S197" t="s">
        <v>86</v>
      </c>
      <c r="T197" t="s">
        <v>87</v>
      </c>
      <c r="U197">
        <v>110</v>
      </c>
      <c r="V197">
        <v>21</v>
      </c>
      <c r="W197">
        <v>80</v>
      </c>
      <c r="Y197">
        <v>50</v>
      </c>
      <c r="Z197">
        <v>2.5</v>
      </c>
      <c r="AA197">
        <v>2000</v>
      </c>
      <c r="AB197">
        <v>0</v>
      </c>
    </row>
    <row r="198" spans="1:60" x14ac:dyDescent="0.3">
      <c r="A198">
        <v>2</v>
      </c>
      <c r="B198" s="1">
        <v>44928</v>
      </c>
      <c r="C198" s="1">
        <v>44995</v>
      </c>
      <c r="D198">
        <v>25</v>
      </c>
      <c r="E198" t="s">
        <v>808</v>
      </c>
      <c r="F198">
        <v>227</v>
      </c>
      <c r="G198" t="s">
        <v>1256</v>
      </c>
      <c r="H198" t="s">
        <v>809</v>
      </c>
      <c r="I198" t="s">
        <v>286</v>
      </c>
      <c r="J198" t="s">
        <v>810</v>
      </c>
      <c r="K198" t="s">
        <v>811</v>
      </c>
      <c r="L198">
        <v>1</v>
      </c>
      <c r="M198">
        <v>1</v>
      </c>
      <c r="N198">
        <v>0</v>
      </c>
      <c r="O198">
        <v>0</v>
      </c>
      <c r="P198">
        <v>0</v>
      </c>
      <c r="Q198" t="s">
        <v>75</v>
      </c>
      <c r="R198">
        <v>2020</v>
      </c>
      <c r="S198" t="s">
        <v>70</v>
      </c>
      <c r="T198" t="s">
        <v>70</v>
      </c>
      <c r="U198">
        <v>600</v>
      </c>
      <c r="W198">
        <v>25</v>
      </c>
      <c r="Y198">
        <v>60</v>
      </c>
      <c r="Z198">
        <v>3</v>
      </c>
      <c r="AA198">
        <v>2000</v>
      </c>
      <c r="AB198">
        <v>1</v>
      </c>
      <c r="AC198">
        <v>1</v>
      </c>
      <c r="AD198">
        <v>60</v>
      </c>
      <c r="AE198">
        <v>5</v>
      </c>
      <c r="AH198">
        <v>1200</v>
      </c>
      <c r="AI198">
        <v>1</v>
      </c>
      <c r="BG198">
        <v>60</v>
      </c>
      <c r="BH198">
        <v>5</v>
      </c>
    </row>
    <row r="199" spans="1:60" x14ac:dyDescent="0.3">
      <c r="A199">
        <v>2</v>
      </c>
      <c r="B199" s="1">
        <v>44928</v>
      </c>
      <c r="C199" s="1">
        <v>44995</v>
      </c>
      <c r="D199">
        <v>25</v>
      </c>
      <c r="E199" t="s">
        <v>808</v>
      </c>
      <c r="F199">
        <v>228</v>
      </c>
      <c r="G199" t="s">
        <v>1257</v>
      </c>
      <c r="H199" t="s">
        <v>812</v>
      </c>
      <c r="I199" t="s">
        <v>66</v>
      </c>
      <c r="J199" t="s">
        <v>813</v>
      </c>
      <c r="K199" t="s">
        <v>814</v>
      </c>
      <c r="L199">
        <v>2</v>
      </c>
      <c r="M199">
        <v>1</v>
      </c>
      <c r="N199">
        <v>1</v>
      </c>
      <c r="O199">
        <v>0</v>
      </c>
      <c r="P199">
        <v>0</v>
      </c>
      <c r="Q199" t="s">
        <v>69</v>
      </c>
      <c r="R199">
        <v>2019</v>
      </c>
      <c r="S199" t="s">
        <v>165</v>
      </c>
      <c r="T199" t="s">
        <v>99</v>
      </c>
      <c r="W199">
        <v>63</v>
      </c>
      <c r="X199">
        <v>38</v>
      </c>
      <c r="Y199">
        <v>40</v>
      </c>
      <c r="Z199">
        <v>10</v>
      </c>
      <c r="AA199">
        <v>400</v>
      </c>
      <c r="AB199">
        <v>1</v>
      </c>
      <c r="AC199">
        <v>1</v>
      </c>
      <c r="AD199">
        <v>40</v>
      </c>
      <c r="AE199">
        <v>20</v>
      </c>
      <c r="AH199">
        <v>200</v>
      </c>
      <c r="AI199">
        <v>1</v>
      </c>
      <c r="AR199">
        <v>40</v>
      </c>
      <c r="AS199">
        <v>20</v>
      </c>
    </row>
    <row r="200" spans="1:60" x14ac:dyDescent="0.3">
      <c r="A200">
        <v>2</v>
      </c>
      <c r="B200" s="1">
        <v>44928</v>
      </c>
      <c r="C200" s="1">
        <v>44995</v>
      </c>
      <c r="D200">
        <v>25</v>
      </c>
      <c r="E200" t="s">
        <v>808</v>
      </c>
      <c r="F200">
        <v>229</v>
      </c>
      <c r="G200" t="s">
        <v>815</v>
      </c>
      <c r="H200" t="s">
        <v>815</v>
      </c>
      <c r="I200" t="s">
        <v>79</v>
      </c>
      <c r="J200" t="s">
        <v>816</v>
      </c>
      <c r="K200" t="s">
        <v>817</v>
      </c>
      <c r="L200">
        <v>2</v>
      </c>
      <c r="M200">
        <v>0</v>
      </c>
      <c r="N200">
        <v>2</v>
      </c>
      <c r="O200">
        <v>0</v>
      </c>
      <c r="P200">
        <v>0</v>
      </c>
      <c r="Q200" t="s">
        <v>75</v>
      </c>
      <c r="R200" t="s">
        <v>1309</v>
      </c>
      <c r="S200" t="s">
        <v>818</v>
      </c>
      <c r="T200" t="s">
        <v>819</v>
      </c>
      <c r="U200">
        <v>100</v>
      </c>
      <c r="V200">
        <v>12</v>
      </c>
      <c r="W200">
        <v>60</v>
      </c>
      <c r="Y200">
        <v>75</v>
      </c>
      <c r="Z200">
        <v>2.5</v>
      </c>
      <c r="AA200">
        <v>3000</v>
      </c>
      <c r="AB200">
        <v>1</v>
      </c>
      <c r="AC200">
        <v>1</v>
      </c>
      <c r="AD200">
        <v>75</v>
      </c>
      <c r="AE200">
        <v>10</v>
      </c>
      <c r="AH200">
        <v>750</v>
      </c>
      <c r="AI200">
        <v>1</v>
      </c>
      <c r="AX200">
        <v>75</v>
      </c>
      <c r="AY200">
        <v>10</v>
      </c>
    </row>
    <row r="201" spans="1:60" x14ac:dyDescent="0.3">
      <c r="A201">
        <v>2</v>
      </c>
      <c r="B201" s="1">
        <v>44928</v>
      </c>
      <c r="C201" s="1">
        <v>44995</v>
      </c>
      <c r="D201">
        <v>26</v>
      </c>
      <c r="E201" t="s">
        <v>820</v>
      </c>
      <c r="F201">
        <v>230</v>
      </c>
      <c r="G201" t="s">
        <v>1258</v>
      </c>
      <c r="H201" t="s">
        <v>821</v>
      </c>
      <c r="I201" t="s">
        <v>79</v>
      </c>
      <c r="J201" t="s">
        <v>822</v>
      </c>
      <c r="K201" t="s">
        <v>823</v>
      </c>
      <c r="L201">
        <v>2</v>
      </c>
      <c r="M201">
        <v>2</v>
      </c>
      <c r="N201">
        <v>0</v>
      </c>
      <c r="O201">
        <v>0</v>
      </c>
      <c r="P201">
        <v>0</v>
      </c>
      <c r="Q201" t="s">
        <v>75</v>
      </c>
      <c r="R201">
        <v>2022</v>
      </c>
      <c r="S201" t="s">
        <v>185</v>
      </c>
      <c r="T201" t="s">
        <v>186</v>
      </c>
      <c r="U201">
        <v>114</v>
      </c>
      <c r="W201">
        <v>60</v>
      </c>
      <c r="Y201">
        <v>50</v>
      </c>
      <c r="Z201">
        <v>5</v>
      </c>
      <c r="AA201">
        <v>1000</v>
      </c>
      <c r="AB201">
        <v>1</v>
      </c>
      <c r="AC201">
        <v>0</v>
      </c>
    </row>
    <row r="202" spans="1:60" x14ac:dyDescent="0.3">
      <c r="A202">
        <v>2</v>
      </c>
      <c r="B202" s="1">
        <v>44928</v>
      </c>
      <c r="C202" s="1">
        <v>44995</v>
      </c>
      <c r="D202">
        <v>26</v>
      </c>
      <c r="E202" t="s">
        <v>820</v>
      </c>
      <c r="F202">
        <v>231</v>
      </c>
      <c r="G202" t="s">
        <v>1259</v>
      </c>
      <c r="H202" t="s">
        <v>824</v>
      </c>
      <c r="I202" t="s">
        <v>225</v>
      </c>
      <c r="J202" t="s">
        <v>825</v>
      </c>
      <c r="K202" t="s">
        <v>826</v>
      </c>
      <c r="L202">
        <v>1</v>
      </c>
      <c r="M202">
        <v>1</v>
      </c>
      <c r="N202">
        <v>0</v>
      </c>
      <c r="O202">
        <v>0</v>
      </c>
      <c r="P202">
        <v>0</v>
      </c>
      <c r="Q202" t="s">
        <v>69</v>
      </c>
      <c r="R202">
        <v>2022</v>
      </c>
      <c r="S202" t="s">
        <v>70</v>
      </c>
      <c r="T202" t="s">
        <v>70</v>
      </c>
      <c r="U202">
        <v>1600</v>
      </c>
      <c r="W202">
        <v>90</v>
      </c>
      <c r="Y202">
        <v>100</v>
      </c>
      <c r="Z202">
        <v>1</v>
      </c>
      <c r="AA202">
        <v>10000</v>
      </c>
      <c r="AB202">
        <v>1</v>
      </c>
      <c r="AC202">
        <v>1</v>
      </c>
      <c r="AD202">
        <v>200</v>
      </c>
      <c r="AE202">
        <v>4</v>
      </c>
      <c r="AH202">
        <v>5000</v>
      </c>
      <c r="AI202">
        <v>4</v>
      </c>
      <c r="AO202">
        <v>50</v>
      </c>
      <c r="AP202">
        <v>1</v>
      </c>
      <c r="AR202">
        <v>50</v>
      </c>
      <c r="AS202">
        <v>1</v>
      </c>
      <c r="AX202">
        <v>50</v>
      </c>
      <c r="AY202">
        <v>1</v>
      </c>
      <c r="BG202">
        <v>50</v>
      </c>
      <c r="BH202">
        <v>1</v>
      </c>
    </row>
    <row r="203" spans="1:60" x14ac:dyDescent="0.3">
      <c r="A203">
        <v>2</v>
      </c>
      <c r="B203" s="1">
        <v>44928</v>
      </c>
      <c r="C203" s="1">
        <v>44995</v>
      </c>
      <c r="D203">
        <v>26</v>
      </c>
      <c r="E203" t="s">
        <v>820</v>
      </c>
      <c r="F203">
        <v>232</v>
      </c>
      <c r="G203" t="s">
        <v>1260</v>
      </c>
      <c r="H203" t="s">
        <v>827</v>
      </c>
      <c r="I203" t="s">
        <v>66</v>
      </c>
      <c r="J203" t="s">
        <v>828</v>
      </c>
      <c r="K203" t="s">
        <v>829</v>
      </c>
      <c r="L203">
        <v>2</v>
      </c>
      <c r="M203">
        <v>2</v>
      </c>
      <c r="N203">
        <v>0</v>
      </c>
      <c r="O203">
        <v>0</v>
      </c>
      <c r="P203">
        <v>0</v>
      </c>
      <c r="Q203" t="s">
        <v>69</v>
      </c>
      <c r="R203">
        <v>2018</v>
      </c>
      <c r="S203" t="s">
        <v>830</v>
      </c>
      <c r="T203" t="s">
        <v>831</v>
      </c>
      <c r="U203">
        <v>1000</v>
      </c>
      <c r="X203">
        <v>19</v>
      </c>
      <c r="Y203">
        <v>75</v>
      </c>
      <c r="Z203">
        <v>1</v>
      </c>
      <c r="AA203">
        <v>7500</v>
      </c>
      <c r="AB203">
        <v>1</v>
      </c>
      <c r="AC203">
        <v>1</v>
      </c>
      <c r="AD203">
        <v>50</v>
      </c>
      <c r="AE203">
        <v>3</v>
      </c>
      <c r="AF203">
        <v>25</v>
      </c>
      <c r="AG203">
        <v>12</v>
      </c>
      <c r="AH203">
        <v>1666.666667</v>
      </c>
      <c r="AI203">
        <v>1</v>
      </c>
      <c r="AX203">
        <v>50</v>
      </c>
      <c r="AY203">
        <v>3</v>
      </c>
      <c r="AZ203">
        <v>25</v>
      </c>
    </row>
    <row r="204" spans="1:60" x14ac:dyDescent="0.3">
      <c r="A204">
        <v>2</v>
      </c>
      <c r="B204" s="1">
        <v>44928</v>
      </c>
      <c r="C204" s="1">
        <v>44995</v>
      </c>
      <c r="D204">
        <v>27</v>
      </c>
      <c r="E204" t="s">
        <v>832</v>
      </c>
      <c r="F204">
        <v>233</v>
      </c>
      <c r="G204" t="s">
        <v>1261</v>
      </c>
      <c r="H204" t="s">
        <v>833</v>
      </c>
      <c r="I204" t="s">
        <v>66</v>
      </c>
      <c r="J204" t="s">
        <v>834</v>
      </c>
      <c r="K204" t="s">
        <v>835</v>
      </c>
      <c r="L204">
        <v>2</v>
      </c>
      <c r="M204">
        <v>1</v>
      </c>
      <c r="N204">
        <v>1</v>
      </c>
      <c r="O204">
        <v>0</v>
      </c>
      <c r="P204">
        <v>1</v>
      </c>
      <c r="Q204" t="s">
        <v>69</v>
      </c>
      <c r="R204">
        <v>2017</v>
      </c>
      <c r="S204" t="s">
        <v>134</v>
      </c>
      <c r="T204" t="s">
        <v>99</v>
      </c>
      <c r="U204">
        <v>-1</v>
      </c>
      <c r="V204">
        <v>25</v>
      </c>
      <c r="Y204">
        <v>100</v>
      </c>
      <c r="Z204">
        <v>2</v>
      </c>
      <c r="AA204">
        <v>5000</v>
      </c>
      <c r="AB204">
        <v>1</v>
      </c>
      <c r="AC204">
        <v>1</v>
      </c>
      <c r="AD204">
        <v>100</v>
      </c>
      <c r="AE204">
        <v>8</v>
      </c>
      <c r="AH204">
        <v>1250</v>
      </c>
      <c r="AI204">
        <v>1</v>
      </c>
      <c r="AU204">
        <v>100</v>
      </c>
      <c r="AV204">
        <v>8</v>
      </c>
    </row>
    <row r="205" spans="1:60" x14ac:dyDescent="0.3">
      <c r="A205">
        <v>2</v>
      </c>
      <c r="B205" s="1">
        <v>44928</v>
      </c>
      <c r="C205" s="1">
        <v>44995</v>
      </c>
      <c r="D205">
        <v>27</v>
      </c>
      <c r="E205" t="s">
        <v>832</v>
      </c>
      <c r="F205">
        <v>234</v>
      </c>
      <c r="G205" t="s">
        <v>1262</v>
      </c>
      <c r="H205" t="s">
        <v>836</v>
      </c>
      <c r="I205" t="s">
        <v>635</v>
      </c>
      <c r="J205" t="s">
        <v>837</v>
      </c>
      <c r="K205" t="s">
        <v>838</v>
      </c>
      <c r="L205">
        <v>3</v>
      </c>
      <c r="M205">
        <v>1</v>
      </c>
      <c r="N205">
        <v>2</v>
      </c>
      <c r="O205">
        <v>0</v>
      </c>
      <c r="P205">
        <v>1</v>
      </c>
      <c r="Q205" t="s">
        <v>75</v>
      </c>
      <c r="R205" t="s">
        <v>1309</v>
      </c>
      <c r="S205" t="s">
        <v>394</v>
      </c>
      <c r="T205" t="s">
        <v>77</v>
      </c>
      <c r="U205">
        <v>117</v>
      </c>
      <c r="Y205">
        <v>50</v>
      </c>
      <c r="Z205">
        <v>3</v>
      </c>
      <c r="AA205">
        <v>1666.666667</v>
      </c>
      <c r="AB205">
        <v>1</v>
      </c>
      <c r="AC205">
        <v>0</v>
      </c>
    </row>
    <row r="206" spans="1:60" x14ac:dyDescent="0.3">
      <c r="A206">
        <v>2</v>
      </c>
      <c r="B206" s="1">
        <v>44928</v>
      </c>
      <c r="C206" s="1">
        <v>44995</v>
      </c>
      <c r="D206">
        <v>27</v>
      </c>
      <c r="E206" t="s">
        <v>832</v>
      </c>
      <c r="F206">
        <v>235</v>
      </c>
      <c r="G206" t="s">
        <v>839</v>
      </c>
      <c r="H206" t="s">
        <v>839</v>
      </c>
      <c r="I206" t="s">
        <v>635</v>
      </c>
      <c r="J206" t="s">
        <v>840</v>
      </c>
      <c r="K206" t="s">
        <v>841</v>
      </c>
      <c r="L206">
        <v>2</v>
      </c>
      <c r="M206">
        <v>1</v>
      </c>
      <c r="N206">
        <v>1</v>
      </c>
      <c r="O206">
        <v>0</v>
      </c>
      <c r="P206">
        <v>1</v>
      </c>
      <c r="Q206" t="s">
        <v>69</v>
      </c>
      <c r="R206">
        <v>2019</v>
      </c>
      <c r="S206" t="s">
        <v>195</v>
      </c>
      <c r="T206" t="s">
        <v>196</v>
      </c>
      <c r="U206">
        <v>16</v>
      </c>
      <c r="V206">
        <v>3.5</v>
      </c>
      <c r="W206">
        <v>40</v>
      </c>
      <c r="X206">
        <v>25</v>
      </c>
      <c r="Y206">
        <v>50</v>
      </c>
      <c r="Z206">
        <v>7.5</v>
      </c>
      <c r="AA206">
        <v>666.66666669999995</v>
      </c>
      <c r="AB206">
        <v>0</v>
      </c>
    </row>
    <row r="207" spans="1:60" x14ac:dyDescent="0.3">
      <c r="A207">
        <v>2</v>
      </c>
      <c r="B207" s="1">
        <v>44928</v>
      </c>
      <c r="C207" s="1">
        <v>44995</v>
      </c>
      <c r="D207">
        <v>27</v>
      </c>
      <c r="E207" t="s">
        <v>832</v>
      </c>
      <c r="F207">
        <v>236</v>
      </c>
      <c r="G207" t="s">
        <v>1263</v>
      </c>
      <c r="H207" t="s">
        <v>842</v>
      </c>
      <c r="I207" t="s">
        <v>448</v>
      </c>
      <c r="J207" t="s">
        <v>843</v>
      </c>
      <c r="K207" t="s">
        <v>844</v>
      </c>
      <c r="L207">
        <v>2</v>
      </c>
      <c r="M207">
        <v>2</v>
      </c>
      <c r="N207">
        <v>0</v>
      </c>
      <c r="O207">
        <v>0</v>
      </c>
      <c r="P207">
        <v>0</v>
      </c>
      <c r="Q207" t="s">
        <v>75</v>
      </c>
      <c r="R207" t="s">
        <v>1309</v>
      </c>
      <c r="S207" t="s">
        <v>134</v>
      </c>
      <c r="T207" t="s">
        <v>99</v>
      </c>
      <c r="U207">
        <v>300</v>
      </c>
      <c r="V207">
        <v>33</v>
      </c>
      <c r="X207">
        <v>30</v>
      </c>
      <c r="Y207">
        <v>75</v>
      </c>
      <c r="Z207">
        <v>3</v>
      </c>
      <c r="AA207">
        <v>2500</v>
      </c>
      <c r="AB207">
        <v>0</v>
      </c>
    </row>
    <row r="208" spans="1:60" x14ac:dyDescent="0.3">
      <c r="A208">
        <v>2</v>
      </c>
      <c r="B208" s="1">
        <v>44928</v>
      </c>
      <c r="C208" s="1">
        <v>44995</v>
      </c>
      <c r="D208">
        <v>28</v>
      </c>
      <c r="E208" t="s">
        <v>845</v>
      </c>
      <c r="F208">
        <v>237</v>
      </c>
      <c r="G208" t="s">
        <v>846</v>
      </c>
      <c r="H208" t="s">
        <v>846</v>
      </c>
      <c r="I208" t="s">
        <v>66</v>
      </c>
      <c r="J208" t="s">
        <v>847</v>
      </c>
      <c r="K208" t="s">
        <v>848</v>
      </c>
      <c r="L208">
        <v>2</v>
      </c>
      <c r="M208">
        <v>2</v>
      </c>
      <c r="N208">
        <v>0</v>
      </c>
      <c r="O208">
        <v>0</v>
      </c>
      <c r="P208">
        <v>0</v>
      </c>
      <c r="Q208" t="s">
        <v>69</v>
      </c>
      <c r="R208">
        <v>2018</v>
      </c>
      <c r="S208" t="s">
        <v>849</v>
      </c>
      <c r="T208" t="s">
        <v>850</v>
      </c>
      <c r="V208">
        <v>700</v>
      </c>
      <c r="Y208">
        <v>100</v>
      </c>
      <c r="Z208">
        <v>0.5</v>
      </c>
      <c r="AA208">
        <v>20000</v>
      </c>
      <c r="AB208">
        <v>1</v>
      </c>
      <c r="AC208">
        <v>1</v>
      </c>
      <c r="AD208">
        <v>100</v>
      </c>
      <c r="AE208">
        <v>1.25</v>
      </c>
      <c r="AH208">
        <v>8000</v>
      </c>
      <c r="AI208">
        <v>1</v>
      </c>
      <c r="AX208">
        <v>100</v>
      </c>
      <c r="AY208">
        <v>1.25</v>
      </c>
    </row>
    <row r="209" spans="1:55" x14ac:dyDescent="0.3">
      <c r="A209">
        <v>2</v>
      </c>
      <c r="B209" s="1">
        <v>44928</v>
      </c>
      <c r="C209" s="1">
        <v>44995</v>
      </c>
      <c r="D209">
        <v>28</v>
      </c>
      <c r="E209" t="s">
        <v>845</v>
      </c>
      <c r="F209">
        <v>238</v>
      </c>
      <c r="G209" t="s">
        <v>1264</v>
      </c>
      <c r="H209" t="s">
        <v>851</v>
      </c>
      <c r="I209" t="s">
        <v>182</v>
      </c>
      <c r="J209" t="s">
        <v>852</v>
      </c>
      <c r="K209" t="s">
        <v>853</v>
      </c>
      <c r="L209">
        <v>1</v>
      </c>
      <c r="M209">
        <v>0</v>
      </c>
      <c r="N209">
        <v>1</v>
      </c>
      <c r="O209">
        <v>0</v>
      </c>
      <c r="P209">
        <v>0</v>
      </c>
      <c r="Q209" t="s">
        <v>69</v>
      </c>
      <c r="R209">
        <v>2017</v>
      </c>
      <c r="S209" t="s">
        <v>134</v>
      </c>
      <c r="T209" t="s">
        <v>99</v>
      </c>
      <c r="U209">
        <v>115</v>
      </c>
      <c r="V209">
        <v>20</v>
      </c>
      <c r="W209">
        <v>50</v>
      </c>
      <c r="X209">
        <v>18</v>
      </c>
      <c r="Y209">
        <v>50</v>
      </c>
      <c r="Z209">
        <v>3</v>
      </c>
      <c r="AA209">
        <v>1666.666667</v>
      </c>
      <c r="AB209">
        <v>1</v>
      </c>
      <c r="AC209">
        <v>0</v>
      </c>
    </row>
    <row r="210" spans="1:55" x14ac:dyDescent="0.3">
      <c r="A210">
        <v>2</v>
      </c>
      <c r="B210" s="1">
        <v>44928</v>
      </c>
      <c r="C210" s="1">
        <v>44995</v>
      </c>
      <c r="D210">
        <v>28</v>
      </c>
      <c r="E210" t="s">
        <v>845</v>
      </c>
      <c r="F210">
        <v>239</v>
      </c>
      <c r="G210" t="s">
        <v>1265</v>
      </c>
      <c r="H210" t="s">
        <v>854</v>
      </c>
      <c r="I210" t="s">
        <v>225</v>
      </c>
      <c r="J210" t="s">
        <v>855</v>
      </c>
      <c r="K210" t="s">
        <v>856</v>
      </c>
      <c r="L210">
        <v>1</v>
      </c>
      <c r="M210">
        <v>1</v>
      </c>
      <c r="N210">
        <v>0</v>
      </c>
      <c r="O210">
        <v>0</v>
      </c>
      <c r="P210">
        <v>0</v>
      </c>
      <c r="Q210" t="s">
        <v>69</v>
      </c>
      <c r="R210" t="s">
        <v>1309</v>
      </c>
      <c r="S210" t="s">
        <v>86</v>
      </c>
      <c r="T210" t="s">
        <v>87</v>
      </c>
      <c r="V210">
        <v>14</v>
      </c>
      <c r="Y210">
        <v>40</v>
      </c>
      <c r="Z210">
        <v>2</v>
      </c>
      <c r="AA210">
        <v>2000</v>
      </c>
      <c r="AB210">
        <v>1</v>
      </c>
      <c r="AC210">
        <v>1</v>
      </c>
      <c r="AD210">
        <v>40</v>
      </c>
      <c r="AE210">
        <v>3.2</v>
      </c>
      <c r="AH210">
        <v>1250</v>
      </c>
      <c r="AI210">
        <v>2</v>
      </c>
      <c r="AJ210" t="s">
        <v>804</v>
      </c>
      <c r="AO210">
        <v>20</v>
      </c>
      <c r="AP210">
        <v>1.6</v>
      </c>
      <c r="AR210">
        <v>20</v>
      </c>
      <c r="AS210">
        <v>1.6</v>
      </c>
    </row>
    <row r="211" spans="1:55" x14ac:dyDescent="0.3">
      <c r="A211">
        <v>2</v>
      </c>
      <c r="B211" s="1">
        <v>44928</v>
      </c>
      <c r="C211" s="1">
        <v>44995</v>
      </c>
      <c r="D211">
        <v>29</v>
      </c>
      <c r="E211" t="s">
        <v>857</v>
      </c>
      <c r="F211">
        <v>240</v>
      </c>
      <c r="G211" t="s">
        <v>858</v>
      </c>
      <c r="H211" t="s">
        <v>858</v>
      </c>
      <c r="I211" t="s">
        <v>182</v>
      </c>
      <c r="J211" t="s">
        <v>859</v>
      </c>
      <c r="K211" t="s">
        <v>860</v>
      </c>
      <c r="L211">
        <v>2</v>
      </c>
      <c r="M211">
        <v>2</v>
      </c>
      <c r="N211">
        <v>0</v>
      </c>
      <c r="O211">
        <v>0</v>
      </c>
      <c r="P211">
        <v>0</v>
      </c>
      <c r="Q211" t="s">
        <v>75</v>
      </c>
      <c r="R211" t="s">
        <v>1309</v>
      </c>
      <c r="S211" t="s">
        <v>861</v>
      </c>
      <c r="T211" t="s">
        <v>77</v>
      </c>
      <c r="Y211">
        <v>30</v>
      </c>
      <c r="Z211">
        <v>10</v>
      </c>
      <c r="AA211">
        <v>300</v>
      </c>
      <c r="AB211">
        <v>1</v>
      </c>
      <c r="AC211">
        <v>1</v>
      </c>
      <c r="AD211">
        <v>30</v>
      </c>
      <c r="AE211">
        <v>20</v>
      </c>
      <c r="AH211">
        <v>150</v>
      </c>
      <c r="AI211">
        <v>5</v>
      </c>
      <c r="AO211">
        <v>6</v>
      </c>
      <c r="AP211">
        <v>4</v>
      </c>
      <c r="AR211">
        <v>6</v>
      </c>
      <c r="AS211">
        <v>4</v>
      </c>
      <c r="AU211">
        <v>6</v>
      </c>
      <c r="AV211">
        <v>4</v>
      </c>
      <c r="AX211">
        <v>6</v>
      </c>
      <c r="AY211">
        <v>4</v>
      </c>
      <c r="BA211">
        <v>6</v>
      </c>
      <c r="BB211">
        <v>4</v>
      </c>
    </row>
    <row r="212" spans="1:55" x14ac:dyDescent="0.3">
      <c r="A212">
        <v>2</v>
      </c>
      <c r="B212" s="1">
        <v>44928</v>
      </c>
      <c r="C212" s="1">
        <v>44995</v>
      </c>
      <c r="D212">
        <v>29</v>
      </c>
      <c r="E212" t="s">
        <v>857</v>
      </c>
      <c r="F212">
        <v>241</v>
      </c>
      <c r="G212" t="s">
        <v>1266</v>
      </c>
      <c r="H212" t="s">
        <v>862</v>
      </c>
      <c r="I212" t="s">
        <v>173</v>
      </c>
      <c r="J212" t="s">
        <v>863</v>
      </c>
      <c r="K212" t="s">
        <v>864</v>
      </c>
      <c r="L212">
        <v>2</v>
      </c>
      <c r="M212">
        <v>1</v>
      </c>
      <c r="N212">
        <v>1</v>
      </c>
      <c r="O212">
        <v>0</v>
      </c>
      <c r="P212">
        <v>0</v>
      </c>
      <c r="Q212" t="s">
        <v>69</v>
      </c>
      <c r="R212" t="s">
        <v>1309</v>
      </c>
      <c r="S212" t="s">
        <v>70</v>
      </c>
      <c r="T212" t="s">
        <v>70</v>
      </c>
      <c r="Y212">
        <v>53</v>
      </c>
      <c r="Z212">
        <v>1</v>
      </c>
      <c r="AA212">
        <v>5300</v>
      </c>
      <c r="AB212">
        <v>1</v>
      </c>
      <c r="AC212">
        <v>1</v>
      </c>
      <c r="AD212">
        <v>106</v>
      </c>
      <c r="AE212">
        <v>2</v>
      </c>
      <c r="AH212">
        <v>5300</v>
      </c>
      <c r="AI212">
        <v>4</v>
      </c>
      <c r="AO212">
        <v>17.66</v>
      </c>
      <c r="AP212">
        <v>0.33</v>
      </c>
      <c r="AU212">
        <v>17.66</v>
      </c>
      <c r="AV212">
        <v>0.33</v>
      </c>
      <c r="AX212">
        <v>17.66</v>
      </c>
      <c r="AY212">
        <v>0.33</v>
      </c>
      <c r="BA212">
        <v>53</v>
      </c>
      <c r="BB212">
        <v>1</v>
      </c>
    </row>
    <row r="213" spans="1:55" x14ac:dyDescent="0.3">
      <c r="A213">
        <v>2</v>
      </c>
      <c r="B213" s="1">
        <v>44928</v>
      </c>
      <c r="C213" s="1">
        <v>44995</v>
      </c>
      <c r="D213">
        <v>29</v>
      </c>
      <c r="E213" t="s">
        <v>857</v>
      </c>
      <c r="F213">
        <v>242</v>
      </c>
      <c r="G213" t="s">
        <v>865</v>
      </c>
      <c r="H213" t="s">
        <v>865</v>
      </c>
      <c r="I213" t="s">
        <v>66</v>
      </c>
      <c r="J213" t="s">
        <v>866</v>
      </c>
      <c r="K213" t="s">
        <v>867</v>
      </c>
      <c r="L213">
        <v>1</v>
      </c>
      <c r="M213">
        <v>1</v>
      </c>
      <c r="N213">
        <v>0</v>
      </c>
      <c r="O213">
        <v>0</v>
      </c>
      <c r="P213">
        <v>0</v>
      </c>
      <c r="Q213" t="s">
        <v>69</v>
      </c>
      <c r="R213">
        <v>2016</v>
      </c>
      <c r="S213" t="s">
        <v>868</v>
      </c>
      <c r="T213" t="s">
        <v>156</v>
      </c>
      <c r="U213">
        <v>-1</v>
      </c>
      <c r="V213">
        <v>42</v>
      </c>
      <c r="W213">
        <v>40</v>
      </c>
      <c r="Y213">
        <v>50</v>
      </c>
      <c r="Z213">
        <v>2</v>
      </c>
      <c r="AA213">
        <v>2500</v>
      </c>
      <c r="AB213">
        <v>0</v>
      </c>
    </row>
    <row r="214" spans="1:55" x14ac:dyDescent="0.3">
      <c r="A214">
        <v>2</v>
      </c>
      <c r="B214" s="1">
        <v>44928</v>
      </c>
      <c r="C214" s="1">
        <v>44995</v>
      </c>
      <c r="D214">
        <v>30</v>
      </c>
      <c r="E214" t="s">
        <v>869</v>
      </c>
      <c r="F214">
        <v>243</v>
      </c>
      <c r="G214" t="s">
        <v>870</v>
      </c>
      <c r="H214" t="s">
        <v>870</v>
      </c>
      <c r="I214" t="s">
        <v>66</v>
      </c>
      <c r="J214" t="s">
        <v>871</v>
      </c>
      <c r="K214" t="s">
        <v>872</v>
      </c>
      <c r="L214">
        <v>3</v>
      </c>
      <c r="M214">
        <v>3</v>
      </c>
      <c r="N214">
        <v>0</v>
      </c>
      <c r="O214">
        <v>0</v>
      </c>
      <c r="P214">
        <v>0</v>
      </c>
      <c r="Q214" t="s">
        <v>69</v>
      </c>
      <c r="R214" t="s">
        <v>1309</v>
      </c>
      <c r="S214" t="s">
        <v>70</v>
      </c>
      <c r="T214" t="s">
        <v>70</v>
      </c>
      <c r="V214">
        <v>300</v>
      </c>
      <c r="Y214">
        <v>90</v>
      </c>
      <c r="Z214">
        <v>0.5</v>
      </c>
      <c r="AA214">
        <v>18000</v>
      </c>
      <c r="AB214">
        <v>1</v>
      </c>
      <c r="AC214">
        <v>1</v>
      </c>
      <c r="AD214">
        <v>90</v>
      </c>
      <c r="AE214">
        <v>1</v>
      </c>
      <c r="AH214">
        <v>9000</v>
      </c>
      <c r="AI214">
        <v>1</v>
      </c>
      <c r="AJ214" t="s">
        <v>804</v>
      </c>
      <c r="AX214">
        <v>90</v>
      </c>
      <c r="AY214">
        <v>1</v>
      </c>
    </row>
    <row r="215" spans="1:55" x14ac:dyDescent="0.3">
      <c r="A215">
        <v>2</v>
      </c>
      <c r="B215" s="1">
        <v>44928</v>
      </c>
      <c r="C215" s="1">
        <v>44995</v>
      </c>
      <c r="D215">
        <v>30</v>
      </c>
      <c r="E215" t="s">
        <v>869</v>
      </c>
      <c r="F215">
        <v>244</v>
      </c>
      <c r="G215" t="s">
        <v>1267</v>
      </c>
      <c r="H215" t="s">
        <v>873</v>
      </c>
      <c r="I215" t="s">
        <v>72</v>
      </c>
      <c r="J215" t="s">
        <v>874</v>
      </c>
      <c r="K215" t="s">
        <v>875</v>
      </c>
      <c r="L215">
        <v>1</v>
      </c>
      <c r="M215">
        <v>1</v>
      </c>
      <c r="N215">
        <v>0</v>
      </c>
      <c r="O215">
        <v>0</v>
      </c>
      <c r="P215">
        <v>0</v>
      </c>
      <c r="Q215" t="s">
        <v>69</v>
      </c>
      <c r="R215" t="s">
        <v>1309</v>
      </c>
      <c r="S215" t="s">
        <v>70</v>
      </c>
      <c r="T215" t="s">
        <v>70</v>
      </c>
      <c r="Y215">
        <v>0</v>
      </c>
      <c r="Z215">
        <v>0.5</v>
      </c>
      <c r="AA215">
        <v>0</v>
      </c>
      <c r="AB215">
        <v>1</v>
      </c>
      <c r="AC215">
        <v>1</v>
      </c>
      <c r="AD215">
        <v>0</v>
      </c>
      <c r="AE215">
        <v>0.5</v>
      </c>
      <c r="AH215">
        <v>0</v>
      </c>
      <c r="AI215">
        <v>3</v>
      </c>
      <c r="AJ215" t="s">
        <v>804</v>
      </c>
      <c r="AR215">
        <v>0</v>
      </c>
      <c r="AS215">
        <v>0.16600000000000001</v>
      </c>
      <c r="AX215">
        <v>0</v>
      </c>
      <c r="AY215">
        <v>0.16600000000000001</v>
      </c>
      <c r="BA215">
        <v>0</v>
      </c>
      <c r="BB215">
        <v>0.16600000000000001</v>
      </c>
    </row>
    <row r="216" spans="1:55" x14ac:dyDescent="0.3">
      <c r="A216">
        <v>2</v>
      </c>
      <c r="B216" s="1">
        <v>44928</v>
      </c>
      <c r="C216" s="1">
        <v>44995</v>
      </c>
      <c r="D216">
        <v>30</v>
      </c>
      <c r="E216" t="s">
        <v>869</v>
      </c>
      <c r="F216">
        <v>245</v>
      </c>
      <c r="G216" t="s">
        <v>876</v>
      </c>
      <c r="H216" t="s">
        <v>876</v>
      </c>
      <c r="I216" t="s">
        <v>635</v>
      </c>
      <c r="J216" t="s">
        <v>877</v>
      </c>
      <c r="K216" t="s">
        <v>878</v>
      </c>
      <c r="L216">
        <v>3</v>
      </c>
      <c r="M216">
        <v>3</v>
      </c>
      <c r="N216">
        <v>0</v>
      </c>
      <c r="O216">
        <v>0</v>
      </c>
      <c r="P216">
        <v>0</v>
      </c>
      <c r="Q216" t="s">
        <v>69</v>
      </c>
      <c r="R216">
        <v>2019</v>
      </c>
      <c r="S216" t="s">
        <v>879</v>
      </c>
      <c r="T216" t="s">
        <v>99</v>
      </c>
      <c r="V216">
        <v>400</v>
      </c>
      <c r="W216">
        <v>52</v>
      </c>
      <c r="Y216">
        <v>90</v>
      </c>
      <c r="Z216">
        <v>1.5</v>
      </c>
      <c r="AA216">
        <v>6000</v>
      </c>
      <c r="AB216">
        <v>0</v>
      </c>
    </row>
    <row r="217" spans="1:55" x14ac:dyDescent="0.3">
      <c r="A217">
        <v>2</v>
      </c>
      <c r="B217" s="1">
        <v>44928</v>
      </c>
      <c r="C217" s="1">
        <v>44995</v>
      </c>
      <c r="D217">
        <v>31</v>
      </c>
      <c r="E217" t="s">
        <v>880</v>
      </c>
      <c r="F217">
        <v>246</v>
      </c>
      <c r="G217" t="s">
        <v>881</v>
      </c>
      <c r="H217" t="s">
        <v>881</v>
      </c>
      <c r="I217" t="s">
        <v>182</v>
      </c>
      <c r="J217" t="s">
        <v>882</v>
      </c>
      <c r="K217" t="s">
        <v>883</v>
      </c>
      <c r="L217">
        <v>1</v>
      </c>
      <c r="M217">
        <v>1</v>
      </c>
      <c r="N217">
        <v>0</v>
      </c>
      <c r="O217">
        <v>0</v>
      </c>
      <c r="P217">
        <v>0</v>
      </c>
      <c r="Q217" t="s">
        <v>75</v>
      </c>
      <c r="R217">
        <v>2019</v>
      </c>
      <c r="S217" t="s">
        <v>165</v>
      </c>
      <c r="T217" t="s">
        <v>99</v>
      </c>
      <c r="U217">
        <v>21</v>
      </c>
      <c r="V217">
        <v>0.5</v>
      </c>
      <c r="W217">
        <v>35</v>
      </c>
      <c r="X217">
        <v>26</v>
      </c>
      <c r="Y217">
        <v>50</v>
      </c>
      <c r="Z217">
        <v>10</v>
      </c>
      <c r="AA217">
        <v>500</v>
      </c>
      <c r="AB217">
        <v>1</v>
      </c>
      <c r="AC217">
        <v>0</v>
      </c>
      <c r="AK217">
        <v>1</v>
      </c>
    </row>
    <row r="218" spans="1:55" x14ac:dyDescent="0.3">
      <c r="A218">
        <v>2</v>
      </c>
      <c r="B218" s="1">
        <v>44928</v>
      </c>
      <c r="C218" s="1">
        <v>44995</v>
      </c>
      <c r="D218">
        <v>31</v>
      </c>
      <c r="E218" t="s">
        <v>880</v>
      </c>
      <c r="F218">
        <v>247</v>
      </c>
      <c r="G218" t="s">
        <v>1268</v>
      </c>
      <c r="H218" t="s">
        <v>884</v>
      </c>
      <c r="I218" t="s">
        <v>173</v>
      </c>
      <c r="J218" t="s">
        <v>885</v>
      </c>
      <c r="K218" t="s">
        <v>886</v>
      </c>
      <c r="L218">
        <v>2</v>
      </c>
      <c r="M218">
        <v>2</v>
      </c>
      <c r="N218">
        <v>0</v>
      </c>
      <c r="O218">
        <v>0</v>
      </c>
      <c r="P218">
        <v>0</v>
      </c>
      <c r="Q218" t="s">
        <v>69</v>
      </c>
      <c r="R218" t="s">
        <v>1309</v>
      </c>
      <c r="S218" t="s">
        <v>887</v>
      </c>
      <c r="T218" t="s">
        <v>236</v>
      </c>
      <c r="Y218">
        <v>40</v>
      </c>
      <c r="Z218">
        <v>4</v>
      </c>
      <c r="AA218">
        <v>1000</v>
      </c>
      <c r="AB218">
        <v>1</v>
      </c>
      <c r="AC218">
        <v>1</v>
      </c>
      <c r="AD218">
        <v>40</v>
      </c>
      <c r="AE218">
        <v>10</v>
      </c>
      <c r="AH218">
        <v>400</v>
      </c>
      <c r="AI218">
        <v>1</v>
      </c>
      <c r="AO218">
        <v>40</v>
      </c>
      <c r="AP218">
        <v>10</v>
      </c>
    </row>
    <row r="219" spans="1:55" x14ac:dyDescent="0.3">
      <c r="A219">
        <v>2</v>
      </c>
      <c r="B219" s="1">
        <v>44928</v>
      </c>
      <c r="C219" s="1">
        <v>44995</v>
      </c>
      <c r="D219">
        <v>31</v>
      </c>
      <c r="E219" t="s">
        <v>880</v>
      </c>
      <c r="F219">
        <v>248</v>
      </c>
      <c r="G219" t="s">
        <v>888</v>
      </c>
      <c r="H219" t="s">
        <v>888</v>
      </c>
      <c r="I219" t="s">
        <v>182</v>
      </c>
      <c r="J219" t="s">
        <v>889</v>
      </c>
      <c r="K219" t="s">
        <v>890</v>
      </c>
      <c r="L219">
        <v>3</v>
      </c>
      <c r="M219">
        <v>2</v>
      </c>
      <c r="N219">
        <v>1</v>
      </c>
      <c r="O219">
        <v>0</v>
      </c>
      <c r="P219">
        <v>1</v>
      </c>
      <c r="Q219" t="s">
        <v>69</v>
      </c>
      <c r="R219" t="s">
        <v>1309</v>
      </c>
      <c r="S219" t="s">
        <v>70</v>
      </c>
      <c r="T219" t="s">
        <v>70</v>
      </c>
      <c r="U219">
        <v>-1</v>
      </c>
      <c r="V219">
        <v>80</v>
      </c>
      <c r="Y219">
        <v>60</v>
      </c>
      <c r="Z219">
        <v>1.5</v>
      </c>
      <c r="AA219">
        <v>4000</v>
      </c>
      <c r="AB219">
        <v>0</v>
      </c>
    </row>
    <row r="220" spans="1:55" x14ac:dyDescent="0.3">
      <c r="A220">
        <v>2</v>
      </c>
      <c r="B220" s="1">
        <v>44928</v>
      </c>
      <c r="C220" s="1">
        <v>44995</v>
      </c>
      <c r="D220">
        <v>32</v>
      </c>
      <c r="E220" t="s">
        <v>891</v>
      </c>
      <c r="F220">
        <v>249</v>
      </c>
      <c r="G220" t="s">
        <v>892</v>
      </c>
      <c r="H220" t="s">
        <v>892</v>
      </c>
      <c r="I220" t="s">
        <v>79</v>
      </c>
      <c r="J220" t="s">
        <v>893</v>
      </c>
      <c r="K220" t="s">
        <v>894</v>
      </c>
      <c r="L220">
        <v>2</v>
      </c>
      <c r="M220">
        <v>1</v>
      </c>
      <c r="N220">
        <v>1</v>
      </c>
      <c r="O220">
        <v>0</v>
      </c>
      <c r="P220">
        <v>0</v>
      </c>
      <c r="Q220" t="s">
        <v>69</v>
      </c>
      <c r="R220" t="s">
        <v>1309</v>
      </c>
      <c r="S220" t="s">
        <v>76</v>
      </c>
      <c r="T220" t="s">
        <v>77</v>
      </c>
      <c r="W220">
        <v>50</v>
      </c>
      <c r="X220">
        <v>35</v>
      </c>
      <c r="Y220">
        <v>50</v>
      </c>
      <c r="Z220">
        <v>5</v>
      </c>
      <c r="AA220">
        <v>1000</v>
      </c>
      <c r="AB220">
        <v>1</v>
      </c>
      <c r="AC220">
        <v>1</v>
      </c>
      <c r="AD220">
        <v>10</v>
      </c>
      <c r="AE220">
        <v>5</v>
      </c>
      <c r="AF220">
        <v>40</v>
      </c>
      <c r="AG220">
        <v>0</v>
      </c>
      <c r="AH220">
        <v>200</v>
      </c>
      <c r="AI220">
        <v>1</v>
      </c>
      <c r="AO220">
        <v>10</v>
      </c>
      <c r="AP220">
        <v>5</v>
      </c>
      <c r="AQ220">
        <v>40</v>
      </c>
    </row>
    <row r="221" spans="1:55" x14ac:dyDescent="0.3">
      <c r="A221">
        <v>2</v>
      </c>
      <c r="B221" s="1">
        <v>44928</v>
      </c>
      <c r="C221" s="1">
        <v>44995</v>
      </c>
      <c r="D221">
        <v>32</v>
      </c>
      <c r="E221" t="s">
        <v>891</v>
      </c>
      <c r="F221">
        <v>250</v>
      </c>
      <c r="G221" t="s">
        <v>895</v>
      </c>
      <c r="H221" t="s">
        <v>895</v>
      </c>
      <c r="I221" t="s">
        <v>635</v>
      </c>
      <c r="J221" t="s">
        <v>896</v>
      </c>
      <c r="K221" t="s">
        <v>897</v>
      </c>
      <c r="L221">
        <v>2</v>
      </c>
      <c r="M221">
        <v>1</v>
      </c>
      <c r="N221">
        <v>1</v>
      </c>
      <c r="O221">
        <v>0</v>
      </c>
      <c r="P221">
        <v>1</v>
      </c>
      <c r="Q221" t="s">
        <v>69</v>
      </c>
      <c r="R221" t="s">
        <v>1309</v>
      </c>
      <c r="S221" t="s">
        <v>235</v>
      </c>
      <c r="T221" t="s">
        <v>236</v>
      </c>
      <c r="W221">
        <v>55</v>
      </c>
      <c r="Y221">
        <v>70</v>
      </c>
      <c r="Z221">
        <v>1</v>
      </c>
      <c r="AA221">
        <v>7000</v>
      </c>
      <c r="AB221">
        <v>1</v>
      </c>
      <c r="AC221">
        <v>1</v>
      </c>
      <c r="AD221">
        <v>50</v>
      </c>
      <c r="AE221">
        <v>7</v>
      </c>
      <c r="AF221">
        <v>20</v>
      </c>
      <c r="AG221">
        <v>10</v>
      </c>
      <c r="AH221">
        <v>714.2857143</v>
      </c>
      <c r="AI221">
        <v>1</v>
      </c>
      <c r="AR221">
        <v>50</v>
      </c>
      <c r="AS221">
        <v>7</v>
      </c>
      <c r="AT221">
        <v>20</v>
      </c>
    </row>
    <row r="222" spans="1:55" x14ac:dyDescent="0.3">
      <c r="A222">
        <v>2</v>
      </c>
      <c r="B222" s="1">
        <v>44928</v>
      </c>
      <c r="C222" s="1">
        <v>44995</v>
      </c>
      <c r="D222">
        <v>32</v>
      </c>
      <c r="E222" t="s">
        <v>891</v>
      </c>
      <c r="F222">
        <v>251</v>
      </c>
      <c r="G222" t="s">
        <v>1269</v>
      </c>
      <c r="H222" t="s">
        <v>898</v>
      </c>
      <c r="I222" t="s">
        <v>182</v>
      </c>
      <c r="J222" t="s">
        <v>899</v>
      </c>
      <c r="K222" t="s">
        <v>900</v>
      </c>
      <c r="L222">
        <v>2</v>
      </c>
      <c r="M222">
        <v>2</v>
      </c>
      <c r="N222">
        <v>0</v>
      </c>
      <c r="O222">
        <v>0</v>
      </c>
      <c r="P222">
        <v>0</v>
      </c>
      <c r="Q222" t="s">
        <v>69</v>
      </c>
      <c r="R222" t="s">
        <v>1309</v>
      </c>
      <c r="S222" t="s">
        <v>155</v>
      </c>
      <c r="T222" t="s">
        <v>156</v>
      </c>
      <c r="Y222">
        <v>150</v>
      </c>
      <c r="Z222">
        <v>7.5</v>
      </c>
      <c r="AA222">
        <v>2000</v>
      </c>
      <c r="AB222">
        <v>1</v>
      </c>
      <c r="AC222">
        <v>1</v>
      </c>
      <c r="AD222">
        <v>50</v>
      </c>
      <c r="AE222">
        <v>5</v>
      </c>
      <c r="AF222">
        <v>100</v>
      </c>
      <c r="AG222">
        <v>10</v>
      </c>
      <c r="AH222">
        <v>1000</v>
      </c>
      <c r="AI222">
        <v>1</v>
      </c>
      <c r="AO222">
        <v>50</v>
      </c>
      <c r="AP222">
        <v>5</v>
      </c>
      <c r="AQ222">
        <v>100</v>
      </c>
    </row>
    <row r="223" spans="1:55" x14ac:dyDescent="0.3">
      <c r="A223">
        <v>2</v>
      </c>
      <c r="B223" s="1">
        <v>44928</v>
      </c>
      <c r="C223" s="1">
        <v>44995</v>
      </c>
      <c r="D223">
        <v>32</v>
      </c>
      <c r="E223" t="s">
        <v>891</v>
      </c>
      <c r="F223">
        <v>252</v>
      </c>
      <c r="G223" t="s">
        <v>901</v>
      </c>
      <c r="H223" t="s">
        <v>901</v>
      </c>
      <c r="I223" t="s">
        <v>225</v>
      </c>
      <c r="J223" t="s">
        <v>902</v>
      </c>
      <c r="K223" t="s">
        <v>903</v>
      </c>
      <c r="L223">
        <v>2</v>
      </c>
      <c r="M223">
        <v>2</v>
      </c>
      <c r="N223">
        <v>0</v>
      </c>
      <c r="O223">
        <v>0</v>
      </c>
      <c r="P223">
        <v>0</v>
      </c>
      <c r="Q223" t="s">
        <v>69</v>
      </c>
      <c r="R223" t="s">
        <v>1309</v>
      </c>
      <c r="S223" t="s">
        <v>155</v>
      </c>
      <c r="T223" t="s">
        <v>156</v>
      </c>
      <c r="W223">
        <v>25</v>
      </c>
      <c r="X223">
        <v>5</v>
      </c>
      <c r="Y223">
        <v>100</v>
      </c>
      <c r="Z223">
        <v>1</v>
      </c>
      <c r="AA223">
        <v>10000</v>
      </c>
      <c r="AB223">
        <v>0</v>
      </c>
    </row>
    <row r="224" spans="1:55" x14ac:dyDescent="0.3">
      <c r="A224">
        <v>2</v>
      </c>
      <c r="B224" s="1">
        <v>44928</v>
      </c>
      <c r="C224" s="1">
        <v>44995</v>
      </c>
      <c r="D224">
        <v>33</v>
      </c>
      <c r="E224" t="s">
        <v>904</v>
      </c>
      <c r="F224">
        <v>253</v>
      </c>
      <c r="G224" t="s">
        <v>1270</v>
      </c>
      <c r="H224" t="s">
        <v>905</v>
      </c>
      <c r="I224" t="s">
        <v>173</v>
      </c>
      <c r="J224" t="s">
        <v>906</v>
      </c>
      <c r="K224" t="s">
        <v>907</v>
      </c>
      <c r="L224">
        <v>3</v>
      </c>
      <c r="M224">
        <v>2</v>
      </c>
      <c r="N224">
        <v>1</v>
      </c>
      <c r="O224">
        <v>0</v>
      </c>
      <c r="P224">
        <v>0</v>
      </c>
      <c r="Q224" t="s">
        <v>69</v>
      </c>
      <c r="R224">
        <v>2020</v>
      </c>
      <c r="S224" t="s">
        <v>86</v>
      </c>
      <c r="T224" t="s">
        <v>87</v>
      </c>
      <c r="Y224">
        <v>70</v>
      </c>
      <c r="Z224">
        <v>1</v>
      </c>
      <c r="AA224">
        <v>7000</v>
      </c>
      <c r="AB224">
        <v>1</v>
      </c>
      <c r="AC224">
        <v>1</v>
      </c>
      <c r="AD224">
        <v>10</v>
      </c>
      <c r="AE224">
        <v>1</v>
      </c>
      <c r="AF224">
        <v>60</v>
      </c>
      <c r="AG224">
        <v>10</v>
      </c>
      <c r="AH224">
        <v>1000</v>
      </c>
      <c r="AI224">
        <v>1</v>
      </c>
      <c r="BA224">
        <v>10</v>
      </c>
      <c r="BB224">
        <v>1</v>
      </c>
      <c r="BC224">
        <v>60</v>
      </c>
    </row>
    <row r="225" spans="1:60" x14ac:dyDescent="0.3">
      <c r="A225">
        <v>2</v>
      </c>
      <c r="B225" s="1">
        <v>44928</v>
      </c>
      <c r="C225" s="1">
        <v>44995</v>
      </c>
      <c r="D225">
        <v>33</v>
      </c>
      <c r="E225" t="s">
        <v>904</v>
      </c>
      <c r="F225">
        <v>254</v>
      </c>
      <c r="G225" t="s">
        <v>1271</v>
      </c>
      <c r="H225" t="s">
        <v>908</v>
      </c>
      <c r="I225" t="s">
        <v>66</v>
      </c>
      <c r="J225" t="s">
        <v>909</v>
      </c>
      <c r="K225" t="s">
        <v>910</v>
      </c>
      <c r="L225">
        <v>2</v>
      </c>
      <c r="M225">
        <v>2</v>
      </c>
      <c r="N225">
        <v>0</v>
      </c>
      <c r="O225">
        <v>0</v>
      </c>
      <c r="P225">
        <v>0</v>
      </c>
      <c r="Q225" t="s">
        <v>69</v>
      </c>
      <c r="R225" t="s">
        <v>1309</v>
      </c>
      <c r="S225" t="s">
        <v>165</v>
      </c>
      <c r="T225" t="s">
        <v>99</v>
      </c>
      <c r="U225">
        <v>-1</v>
      </c>
      <c r="V225">
        <v>11</v>
      </c>
      <c r="Y225">
        <v>50</v>
      </c>
      <c r="Z225">
        <v>5</v>
      </c>
      <c r="AA225">
        <v>1000</v>
      </c>
      <c r="AB225">
        <v>1</v>
      </c>
      <c r="AC225">
        <v>1</v>
      </c>
      <c r="AD225">
        <v>50</v>
      </c>
      <c r="AE225">
        <v>5</v>
      </c>
      <c r="AH225">
        <v>1000</v>
      </c>
      <c r="AI225">
        <v>2</v>
      </c>
      <c r="AX225">
        <v>25</v>
      </c>
      <c r="AY225">
        <v>2.5</v>
      </c>
      <c r="BA225">
        <v>25</v>
      </c>
      <c r="BB225">
        <v>2.5</v>
      </c>
    </row>
    <row r="226" spans="1:60" x14ac:dyDescent="0.3">
      <c r="A226">
        <v>2</v>
      </c>
      <c r="B226" s="1">
        <v>44928</v>
      </c>
      <c r="C226" s="1">
        <v>44995</v>
      </c>
      <c r="D226">
        <v>33</v>
      </c>
      <c r="E226" t="s">
        <v>904</v>
      </c>
      <c r="F226">
        <v>255</v>
      </c>
      <c r="G226" t="s">
        <v>911</v>
      </c>
      <c r="H226" t="s">
        <v>911</v>
      </c>
      <c r="I226" t="s">
        <v>79</v>
      </c>
      <c r="J226" t="s">
        <v>912</v>
      </c>
      <c r="K226" t="s">
        <v>913</v>
      </c>
      <c r="L226">
        <v>2</v>
      </c>
      <c r="M226">
        <v>2</v>
      </c>
      <c r="N226">
        <v>0</v>
      </c>
      <c r="O226">
        <v>0</v>
      </c>
      <c r="P226">
        <v>0</v>
      </c>
      <c r="Q226" t="s">
        <v>69</v>
      </c>
      <c r="R226" t="s">
        <v>1309</v>
      </c>
      <c r="S226" t="s">
        <v>134</v>
      </c>
      <c r="T226" t="s">
        <v>99</v>
      </c>
      <c r="U226">
        <v>-1</v>
      </c>
      <c r="W226">
        <v>63</v>
      </c>
      <c r="Y226">
        <v>70</v>
      </c>
      <c r="Z226">
        <v>1</v>
      </c>
      <c r="AA226">
        <v>7000</v>
      </c>
      <c r="AB226">
        <v>1</v>
      </c>
      <c r="AC226">
        <v>1</v>
      </c>
      <c r="AD226">
        <v>50</v>
      </c>
      <c r="AE226">
        <v>2.5</v>
      </c>
      <c r="AF226">
        <v>20</v>
      </c>
      <c r="AG226">
        <v>12</v>
      </c>
      <c r="AH226">
        <v>2000</v>
      </c>
      <c r="AI226">
        <v>1</v>
      </c>
      <c r="AJ226" t="s">
        <v>804</v>
      </c>
      <c r="AU226">
        <v>50</v>
      </c>
      <c r="AV226">
        <v>2.5</v>
      </c>
      <c r="AW226">
        <v>20</v>
      </c>
    </row>
    <row r="227" spans="1:60" x14ac:dyDescent="0.3">
      <c r="A227">
        <v>2</v>
      </c>
      <c r="B227" s="1">
        <v>44928</v>
      </c>
      <c r="C227" s="1">
        <v>44995</v>
      </c>
      <c r="D227">
        <v>34</v>
      </c>
      <c r="E227" t="s">
        <v>914</v>
      </c>
      <c r="F227">
        <v>256</v>
      </c>
      <c r="G227" t="s">
        <v>915</v>
      </c>
      <c r="H227" t="s">
        <v>915</v>
      </c>
      <c r="I227" t="s">
        <v>635</v>
      </c>
      <c r="J227" t="s">
        <v>916</v>
      </c>
      <c r="K227" t="s">
        <v>917</v>
      </c>
      <c r="L227">
        <v>2</v>
      </c>
      <c r="M227">
        <v>2</v>
      </c>
      <c r="N227">
        <v>0</v>
      </c>
      <c r="O227">
        <v>0</v>
      </c>
      <c r="P227">
        <v>0</v>
      </c>
      <c r="Q227" t="s">
        <v>75</v>
      </c>
      <c r="R227" t="s">
        <v>1309</v>
      </c>
      <c r="S227" t="s">
        <v>918</v>
      </c>
      <c r="T227" t="s">
        <v>919</v>
      </c>
      <c r="U227">
        <v>-1</v>
      </c>
      <c r="W227">
        <v>57</v>
      </c>
      <c r="Y227">
        <v>80</v>
      </c>
      <c r="Z227">
        <v>1</v>
      </c>
      <c r="AA227">
        <v>8000</v>
      </c>
      <c r="AB227">
        <v>1</v>
      </c>
      <c r="AC227">
        <v>1</v>
      </c>
      <c r="AD227">
        <v>80</v>
      </c>
      <c r="AE227">
        <v>2.5</v>
      </c>
      <c r="AH227">
        <v>3200</v>
      </c>
      <c r="AI227">
        <v>3</v>
      </c>
      <c r="AO227">
        <v>26.66</v>
      </c>
      <c r="AP227">
        <v>0.83299999999999996</v>
      </c>
      <c r="AU227">
        <v>26.66</v>
      </c>
      <c r="AV227">
        <v>0.83299999999999996</v>
      </c>
      <c r="BA227">
        <v>26.66</v>
      </c>
      <c r="BB227">
        <v>0.83299999999999996</v>
      </c>
    </row>
    <row r="228" spans="1:60" x14ac:dyDescent="0.3">
      <c r="A228">
        <v>2</v>
      </c>
      <c r="B228" s="1">
        <v>44928</v>
      </c>
      <c r="C228" s="1">
        <v>44995</v>
      </c>
      <c r="D228">
        <v>34</v>
      </c>
      <c r="E228" t="s">
        <v>914</v>
      </c>
      <c r="F228">
        <v>257</v>
      </c>
      <c r="G228" t="s">
        <v>1272</v>
      </c>
      <c r="H228" t="s">
        <v>920</v>
      </c>
      <c r="I228" t="s">
        <v>79</v>
      </c>
      <c r="J228" t="s">
        <v>921</v>
      </c>
      <c r="K228" t="s">
        <v>922</v>
      </c>
      <c r="L228">
        <v>2</v>
      </c>
      <c r="M228">
        <v>0</v>
      </c>
      <c r="N228">
        <v>2</v>
      </c>
      <c r="O228">
        <v>0</v>
      </c>
      <c r="P228">
        <v>0</v>
      </c>
      <c r="Q228" t="s">
        <v>69</v>
      </c>
      <c r="R228">
        <v>2017</v>
      </c>
      <c r="S228" t="s">
        <v>155</v>
      </c>
      <c r="T228" t="s">
        <v>156</v>
      </c>
      <c r="U228">
        <v>180</v>
      </c>
      <c r="W228">
        <v>83</v>
      </c>
      <c r="X228">
        <v>20</v>
      </c>
      <c r="Y228">
        <v>75</v>
      </c>
      <c r="Z228">
        <v>6</v>
      </c>
      <c r="AA228">
        <v>1250</v>
      </c>
      <c r="AB228">
        <v>1</v>
      </c>
      <c r="AC228">
        <v>0</v>
      </c>
    </row>
    <row r="229" spans="1:60" x14ac:dyDescent="0.3">
      <c r="A229">
        <v>2</v>
      </c>
      <c r="B229" s="1">
        <v>44928</v>
      </c>
      <c r="C229" s="1">
        <v>44995</v>
      </c>
      <c r="D229">
        <v>34</v>
      </c>
      <c r="E229" t="s">
        <v>914</v>
      </c>
      <c r="F229">
        <v>258</v>
      </c>
      <c r="G229" t="s">
        <v>1273</v>
      </c>
      <c r="H229" t="s">
        <v>923</v>
      </c>
      <c r="I229" t="s">
        <v>173</v>
      </c>
      <c r="J229" t="s">
        <v>924</v>
      </c>
      <c r="K229" t="s">
        <v>925</v>
      </c>
      <c r="L229">
        <v>3</v>
      </c>
      <c r="M229">
        <v>3</v>
      </c>
      <c r="N229">
        <v>0</v>
      </c>
      <c r="O229">
        <v>0</v>
      </c>
      <c r="P229">
        <v>0</v>
      </c>
      <c r="Q229" t="s">
        <v>69</v>
      </c>
      <c r="R229">
        <v>2019</v>
      </c>
      <c r="S229" t="s">
        <v>155</v>
      </c>
      <c r="T229" t="s">
        <v>156</v>
      </c>
      <c r="U229">
        <v>0</v>
      </c>
      <c r="V229">
        <v>264</v>
      </c>
      <c r="Y229">
        <v>40</v>
      </c>
      <c r="Z229">
        <v>5</v>
      </c>
      <c r="AA229">
        <v>800</v>
      </c>
      <c r="AB229">
        <v>1</v>
      </c>
      <c r="AC229">
        <v>1</v>
      </c>
      <c r="AD229">
        <v>50</v>
      </c>
      <c r="AE229">
        <v>10</v>
      </c>
      <c r="AH229">
        <v>500</v>
      </c>
      <c r="AI229">
        <v>1</v>
      </c>
      <c r="BA229">
        <v>50</v>
      </c>
      <c r="BB229">
        <v>10</v>
      </c>
    </row>
    <row r="230" spans="1:60" x14ac:dyDescent="0.3">
      <c r="A230">
        <v>2</v>
      </c>
      <c r="B230" s="1">
        <v>44928</v>
      </c>
      <c r="C230" s="1">
        <v>44995</v>
      </c>
      <c r="D230">
        <v>35</v>
      </c>
      <c r="E230" t="s">
        <v>926</v>
      </c>
      <c r="F230">
        <v>259</v>
      </c>
      <c r="G230" t="s">
        <v>1274</v>
      </c>
      <c r="H230" t="s">
        <v>927</v>
      </c>
      <c r="I230" t="s">
        <v>173</v>
      </c>
      <c r="J230" t="s">
        <v>928</v>
      </c>
      <c r="K230" t="s">
        <v>929</v>
      </c>
      <c r="L230">
        <v>2</v>
      </c>
      <c r="M230">
        <v>2</v>
      </c>
      <c r="N230">
        <v>0</v>
      </c>
      <c r="O230">
        <v>0</v>
      </c>
      <c r="P230">
        <v>0</v>
      </c>
      <c r="Q230" t="s">
        <v>69</v>
      </c>
      <c r="R230" t="s">
        <v>1309</v>
      </c>
      <c r="S230" t="s">
        <v>70</v>
      </c>
      <c r="T230" t="s">
        <v>70</v>
      </c>
      <c r="U230">
        <v>240</v>
      </c>
      <c r="X230">
        <v>24</v>
      </c>
      <c r="Y230">
        <v>200</v>
      </c>
      <c r="Z230">
        <v>1</v>
      </c>
      <c r="AA230">
        <v>20000</v>
      </c>
      <c r="AB230">
        <v>1</v>
      </c>
      <c r="AC230">
        <v>1</v>
      </c>
      <c r="AD230">
        <v>200</v>
      </c>
      <c r="AE230">
        <v>2</v>
      </c>
      <c r="AH230">
        <v>10000</v>
      </c>
      <c r="AI230">
        <v>3</v>
      </c>
      <c r="AO230">
        <v>66.66</v>
      </c>
      <c r="AP230">
        <v>0.66600000000000004</v>
      </c>
      <c r="AX230">
        <v>66.66</v>
      </c>
      <c r="AY230">
        <v>0.66600000000000004</v>
      </c>
      <c r="BA230">
        <v>66.66</v>
      </c>
      <c r="BB230">
        <v>0.66600000000000004</v>
      </c>
    </row>
    <row r="231" spans="1:60" x14ac:dyDescent="0.3">
      <c r="A231">
        <v>2</v>
      </c>
      <c r="B231" s="1">
        <v>44928</v>
      </c>
      <c r="C231" s="1">
        <v>44995</v>
      </c>
      <c r="D231">
        <v>35</v>
      </c>
      <c r="E231" t="s">
        <v>926</v>
      </c>
      <c r="F231">
        <v>260</v>
      </c>
      <c r="G231" t="s">
        <v>930</v>
      </c>
      <c r="H231" t="s">
        <v>930</v>
      </c>
      <c r="I231" t="s">
        <v>66</v>
      </c>
      <c r="J231" t="s">
        <v>931</v>
      </c>
      <c r="L231">
        <v>2</v>
      </c>
      <c r="M231">
        <v>0</v>
      </c>
      <c r="N231">
        <v>2</v>
      </c>
      <c r="O231">
        <v>0</v>
      </c>
      <c r="P231">
        <v>0</v>
      </c>
      <c r="Q231" t="s">
        <v>69</v>
      </c>
      <c r="R231" t="s">
        <v>1309</v>
      </c>
      <c r="S231" t="s">
        <v>185</v>
      </c>
      <c r="T231" t="s">
        <v>186</v>
      </c>
      <c r="V231">
        <v>3</v>
      </c>
      <c r="W231">
        <v>60</v>
      </c>
      <c r="X231">
        <v>40</v>
      </c>
      <c r="Y231">
        <v>25</v>
      </c>
      <c r="Z231">
        <v>5</v>
      </c>
      <c r="AA231">
        <v>500</v>
      </c>
      <c r="AB231">
        <v>1</v>
      </c>
      <c r="AC231">
        <v>1</v>
      </c>
      <c r="AD231">
        <v>25</v>
      </c>
      <c r="AE231">
        <v>20</v>
      </c>
      <c r="AH231">
        <v>125</v>
      </c>
      <c r="AI231">
        <v>1</v>
      </c>
      <c r="BG231">
        <v>25</v>
      </c>
      <c r="BH231">
        <v>20</v>
      </c>
    </row>
    <row r="232" spans="1:60" x14ac:dyDescent="0.3">
      <c r="A232">
        <v>2</v>
      </c>
      <c r="B232" s="1">
        <v>44928</v>
      </c>
      <c r="C232" s="1">
        <v>44995</v>
      </c>
      <c r="D232">
        <v>35</v>
      </c>
      <c r="E232" t="s">
        <v>926</v>
      </c>
      <c r="F232">
        <v>261</v>
      </c>
      <c r="G232" t="s">
        <v>932</v>
      </c>
      <c r="H232" t="s">
        <v>932</v>
      </c>
      <c r="I232" t="s">
        <v>448</v>
      </c>
      <c r="J232" t="s">
        <v>933</v>
      </c>
      <c r="K232" t="s">
        <v>934</v>
      </c>
      <c r="L232">
        <v>2</v>
      </c>
      <c r="M232">
        <v>2</v>
      </c>
      <c r="N232">
        <v>0</v>
      </c>
      <c r="O232">
        <v>0</v>
      </c>
      <c r="P232">
        <v>0</v>
      </c>
      <c r="Q232" t="s">
        <v>69</v>
      </c>
      <c r="R232" t="s">
        <v>1309</v>
      </c>
      <c r="S232" t="s">
        <v>134</v>
      </c>
      <c r="T232" t="s">
        <v>99</v>
      </c>
      <c r="Y232">
        <v>80</v>
      </c>
      <c r="Z232">
        <v>1</v>
      </c>
      <c r="AA232">
        <v>8000</v>
      </c>
      <c r="AB232">
        <v>0</v>
      </c>
    </row>
    <row r="233" spans="1:60" x14ac:dyDescent="0.3">
      <c r="A233">
        <v>2</v>
      </c>
      <c r="B233" s="1">
        <v>44928</v>
      </c>
      <c r="C233" s="1">
        <v>44995</v>
      </c>
      <c r="D233">
        <v>35</v>
      </c>
      <c r="E233" t="s">
        <v>926</v>
      </c>
      <c r="F233">
        <v>262</v>
      </c>
      <c r="G233" t="s">
        <v>935</v>
      </c>
      <c r="H233" t="s">
        <v>935</v>
      </c>
      <c r="I233" t="s">
        <v>182</v>
      </c>
      <c r="J233" t="s">
        <v>936</v>
      </c>
      <c r="K233" t="s">
        <v>937</v>
      </c>
      <c r="L233">
        <v>1</v>
      </c>
      <c r="M233">
        <v>1</v>
      </c>
      <c r="N233">
        <v>0</v>
      </c>
      <c r="O233">
        <v>0</v>
      </c>
      <c r="P233">
        <v>0</v>
      </c>
      <c r="Q233" t="s">
        <v>69</v>
      </c>
      <c r="R233" t="s">
        <v>1309</v>
      </c>
      <c r="S233" t="s">
        <v>938</v>
      </c>
      <c r="T233" t="s">
        <v>93</v>
      </c>
      <c r="U233">
        <v>4500</v>
      </c>
      <c r="V233">
        <v>450</v>
      </c>
      <c r="X233">
        <v>15</v>
      </c>
      <c r="Y233">
        <v>125</v>
      </c>
      <c r="Z233">
        <v>0.5</v>
      </c>
      <c r="AA233">
        <v>25000</v>
      </c>
      <c r="AB233">
        <v>0</v>
      </c>
    </row>
    <row r="234" spans="1:60" x14ac:dyDescent="0.3">
      <c r="A234">
        <v>2</v>
      </c>
      <c r="B234" s="1">
        <v>44928</v>
      </c>
      <c r="C234" s="1">
        <v>44995</v>
      </c>
      <c r="D234">
        <v>36</v>
      </c>
      <c r="E234" t="s">
        <v>939</v>
      </c>
      <c r="F234">
        <v>263</v>
      </c>
      <c r="H234" t="s">
        <v>940</v>
      </c>
      <c r="I234" t="s">
        <v>173</v>
      </c>
      <c r="J234" t="s">
        <v>941</v>
      </c>
      <c r="K234" t="s">
        <v>942</v>
      </c>
      <c r="L234">
        <v>2</v>
      </c>
      <c r="M234">
        <v>1</v>
      </c>
      <c r="N234">
        <v>1</v>
      </c>
      <c r="O234">
        <v>0</v>
      </c>
      <c r="P234">
        <v>1</v>
      </c>
      <c r="Q234" t="s">
        <v>75</v>
      </c>
      <c r="R234">
        <v>2022</v>
      </c>
      <c r="S234" t="s">
        <v>417</v>
      </c>
      <c r="T234" t="s">
        <v>345</v>
      </c>
      <c r="U234">
        <v>-1</v>
      </c>
      <c r="Y234">
        <v>100</v>
      </c>
      <c r="Z234">
        <v>2</v>
      </c>
      <c r="AA234">
        <v>5000</v>
      </c>
      <c r="AB234">
        <v>1</v>
      </c>
      <c r="AC234">
        <v>1</v>
      </c>
      <c r="AD234">
        <v>100</v>
      </c>
      <c r="AE234">
        <v>5.4</v>
      </c>
      <c r="AH234">
        <v>1851.851852</v>
      </c>
      <c r="AI234">
        <v>2</v>
      </c>
      <c r="AX234">
        <v>50</v>
      </c>
      <c r="AY234">
        <v>2.7</v>
      </c>
      <c r="BA234">
        <v>50</v>
      </c>
      <c r="BB234">
        <v>2.7</v>
      </c>
    </row>
    <row r="235" spans="1:60" x14ac:dyDescent="0.3">
      <c r="A235">
        <v>2</v>
      </c>
      <c r="B235" s="1">
        <v>44928</v>
      </c>
      <c r="C235" s="1">
        <v>44995</v>
      </c>
      <c r="D235">
        <v>36</v>
      </c>
      <c r="E235" t="s">
        <v>939</v>
      </c>
      <c r="F235">
        <v>264</v>
      </c>
      <c r="G235" t="s">
        <v>943</v>
      </c>
      <c r="H235" t="s">
        <v>943</v>
      </c>
      <c r="I235" t="s">
        <v>66</v>
      </c>
      <c r="J235" t="s">
        <v>944</v>
      </c>
      <c r="K235" t="s">
        <v>945</v>
      </c>
      <c r="L235">
        <v>3</v>
      </c>
      <c r="M235">
        <v>2</v>
      </c>
      <c r="N235">
        <v>1</v>
      </c>
      <c r="O235">
        <v>0</v>
      </c>
      <c r="P235">
        <v>0</v>
      </c>
      <c r="Q235" t="s">
        <v>69</v>
      </c>
      <c r="R235">
        <v>2017</v>
      </c>
      <c r="S235" t="s">
        <v>946</v>
      </c>
      <c r="T235" t="s">
        <v>236</v>
      </c>
      <c r="U235">
        <v>110</v>
      </c>
      <c r="Y235">
        <v>50</v>
      </c>
      <c r="Z235">
        <v>2</v>
      </c>
      <c r="AA235">
        <v>2500</v>
      </c>
      <c r="AB235">
        <v>0</v>
      </c>
    </row>
    <row r="236" spans="1:60" x14ac:dyDescent="0.3">
      <c r="A236">
        <v>2</v>
      </c>
      <c r="B236" s="1">
        <v>44928</v>
      </c>
      <c r="C236" s="1">
        <v>44995</v>
      </c>
      <c r="D236">
        <v>36</v>
      </c>
      <c r="E236" t="s">
        <v>939</v>
      </c>
      <c r="F236">
        <v>265</v>
      </c>
      <c r="G236" t="s">
        <v>1275</v>
      </c>
      <c r="H236" t="s">
        <v>947</v>
      </c>
      <c r="I236" t="s">
        <v>225</v>
      </c>
      <c r="J236" t="s">
        <v>948</v>
      </c>
      <c r="K236" t="s">
        <v>949</v>
      </c>
      <c r="L236">
        <v>2</v>
      </c>
      <c r="M236">
        <v>2</v>
      </c>
      <c r="N236">
        <v>0</v>
      </c>
      <c r="O236">
        <v>0</v>
      </c>
      <c r="P236">
        <v>0</v>
      </c>
      <c r="Q236" t="s">
        <v>69</v>
      </c>
      <c r="R236" t="s">
        <v>1309</v>
      </c>
      <c r="S236" t="s">
        <v>938</v>
      </c>
      <c r="T236" t="s">
        <v>93</v>
      </c>
      <c r="U236">
        <v>0</v>
      </c>
      <c r="Y236">
        <v>45</v>
      </c>
      <c r="Z236">
        <v>10</v>
      </c>
      <c r="AA236">
        <v>450</v>
      </c>
      <c r="AB236">
        <v>1</v>
      </c>
      <c r="AC236">
        <v>1</v>
      </c>
      <c r="AD236">
        <v>45</v>
      </c>
      <c r="AE236">
        <v>25</v>
      </c>
      <c r="AH236">
        <v>180</v>
      </c>
      <c r="AI236">
        <v>1</v>
      </c>
      <c r="AJ236" t="s">
        <v>804</v>
      </c>
      <c r="AO236">
        <v>45</v>
      </c>
      <c r="AP236">
        <v>25</v>
      </c>
    </row>
    <row r="237" spans="1:60" x14ac:dyDescent="0.3">
      <c r="A237">
        <v>2</v>
      </c>
      <c r="B237" s="1">
        <v>44928</v>
      </c>
      <c r="C237" s="1">
        <v>44995</v>
      </c>
      <c r="D237">
        <v>37</v>
      </c>
      <c r="E237" t="s">
        <v>950</v>
      </c>
      <c r="F237">
        <v>266</v>
      </c>
      <c r="G237" t="s">
        <v>951</v>
      </c>
      <c r="H237" t="s">
        <v>951</v>
      </c>
      <c r="I237" t="s">
        <v>66</v>
      </c>
      <c r="J237" t="s">
        <v>952</v>
      </c>
      <c r="K237" t="s">
        <v>953</v>
      </c>
      <c r="L237">
        <v>2</v>
      </c>
      <c r="M237">
        <v>1</v>
      </c>
      <c r="N237">
        <v>1</v>
      </c>
      <c r="O237">
        <v>0</v>
      </c>
      <c r="P237">
        <v>1</v>
      </c>
      <c r="Q237" t="s">
        <v>69</v>
      </c>
      <c r="R237" t="s">
        <v>1309</v>
      </c>
      <c r="S237" t="s">
        <v>155</v>
      </c>
      <c r="T237" t="s">
        <v>156</v>
      </c>
      <c r="U237">
        <v>120</v>
      </c>
      <c r="Y237">
        <v>75</v>
      </c>
      <c r="Z237">
        <v>5</v>
      </c>
      <c r="AA237">
        <v>1500</v>
      </c>
      <c r="AB237">
        <v>0</v>
      </c>
    </row>
    <row r="238" spans="1:60" x14ac:dyDescent="0.3">
      <c r="A238">
        <v>2</v>
      </c>
      <c r="B238" s="1">
        <v>44928</v>
      </c>
      <c r="C238" s="1">
        <v>44995</v>
      </c>
      <c r="D238">
        <v>37</v>
      </c>
      <c r="E238" t="s">
        <v>950</v>
      </c>
      <c r="F238">
        <v>267</v>
      </c>
      <c r="G238" t="s">
        <v>954</v>
      </c>
      <c r="H238" t="s">
        <v>954</v>
      </c>
      <c r="I238" t="s">
        <v>72</v>
      </c>
      <c r="J238" t="s">
        <v>955</v>
      </c>
      <c r="K238" t="s">
        <v>956</v>
      </c>
      <c r="L238">
        <v>2</v>
      </c>
      <c r="M238">
        <v>2</v>
      </c>
      <c r="N238">
        <v>0</v>
      </c>
      <c r="O238">
        <v>0</v>
      </c>
      <c r="P238">
        <v>0</v>
      </c>
      <c r="Q238" t="s">
        <v>69</v>
      </c>
      <c r="R238" t="s">
        <v>1309</v>
      </c>
      <c r="S238" t="s">
        <v>143</v>
      </c>
      <c r="T238" t="s">
        <v>144</v>
      </c>
      <c r="Y238">
        <v>50</v>
      </c>
      <c r="Z238">
        <v>1</v>
      </c>
      <c r="AA238">
        <v>5000</v>
      </c>
      <c r="AB238">
        <v>1</v>
      </c>
      <c r="AC238">
        <v>1</v>
      </c>
      <c r="AD238">
        <v>50</v>
      </c>
      <c r="AE238">
        <v>2.5</v>
      </c>
      <c r="AH238">
        <v>2000</v>
      </c>
      <c r="AI238">
        <v>1</v>
      </c>
      <c r="AJ238" t="s">
        <v>804</v>
      </c>
      <c r="AK238">
        <v>1</v>
      </c>
      <c r="BG238">
        <v>50</v>
      </c>
      <c r="BH238">
        <v>2.5</v>
      </c>
    </row>
    <row r="239" spans="1:60" x14ac:dyDescent="0.3">
      <c r="A239">
        <v>2</v>
      </c>
      <c r="B239" s="1">
        <v>44928</v>
      </c>
      <c r="C239" s="1">
        <v>44995</v>
      </c>
      <c r="D239">
        <v>37</v>
      </c>
      <c r="E239" t="s">
        <v>950</v>
      </c>
      <c r="F239">
        <v>268</v>
      </c>
      <c r="G239" t="s">
        <v>957</v>
      </c>
      <c r="H239" t="s">
        <v>957</v>
      </c>
      <c r="I239" t="s">
        <v>597</v>
      </c>
      <c r="J239" t="s">
        <v>958</v>
      </c>
      <c r="K239" t="s">
        <v>959</v>
      </c>
      <c r="L239">
        <v>2</v>
      </c>
      <c r="M239">
        <v>2</v>
      </c>
      <c r="N239">
        <v>0</v>
      </c>
      <c r="O239">
        <v>0</v>
      </c>
      <c r="P239">
        <v>0</v>
      </c>
      <c r="Q239" t="s">
        <v>69</v>
      </c>
      <c r="R239" t="s">
        <v>1309</v>
      </c>
      <c r="S239" t="s">
        <v>134</v>
      </c>
      <c r="T239" t="s">
        <v>99</v>
      </c>
      <c r="U239">
        <v>270</v>
      </c>
      <c r="V239">
        <v>42</v>
      </c>
      <c r="W239">
        <v>56</v>
      </c>
      <c r="X239">
        <v>13</v>
      </c>
      <c r="Y239">
        <v>50</v>
      </c>
      <c r="Z239">
        <v>1</v>
      </c>
      <c r="AA239">
        <v>5000</v>
      </c>
      <c r="AB239">
        <v>1</v>
      </c>
      <c r="AC239">
        <v>1</v>
      </c>
      <c r="AD239">
        <v>50</v>
      </c>
      <c r="AE239">
        <v>3</v>
      </c>
      <c r="AH239">
        <v>1666.666667</v>
      </c>
      <c r="AI239">
        <v>2</v>
      </c>
      <c r="AX239">
        <v>25</v>
      </c>
      <c r="AY239">
        <v>1.5</v>
      </c>
      <c r="BA239">
        <v>25</v>
      </c>
      <c r="BB239">
        <v>1.5</v>
      </c>
    </row>
    <row r="240" spans="1:60" x14ac:dyDescent="0.3">
      <c r="A240">
        <v>2</v>
      </c>
      <c r="B240" s="1">
        <v>44928</v>
      </c>
      <c r="C240" s="1">
        <v>44995</v>
      </c>
      <c r="D240">
        <v>37</v>
      </c>
      <c r="E240" t="s">
        <v>950</v>
      </c>
      <c r="F240">
        <v>269</v>
      </c>
      <c r="G240" t="s">
        <v>1276</v>
      </c>
      <c r="H240" t="s">
        <v>960</v>
      </c>
      <c r="I240" t="s">
        <v>182</v>
      </c>
      <c r="J240" t="s">
        <v>961</v>
      </c>
      <c r="K240" t="s">
        <v>962</v>
      </c>
      <c r="L240">
        <v>1</v>
      </c>
      <c r="M240">
        <v>1</v>
      </c>
      <c r="N240">
        <v>0</v>
      </c>
      <c r="O240">
        <v>0</v>
      </c>
      <c r="P240">
        <v>0</v>
      </c>
      <c r="Q240" t="s">
        <v>69</v>
      </c>
      <c r="R240">
        <v>2017</v>
      </c>
      <c r="S240" t="s">
        <v>963</v>
      </c>
      <c r="T240" t="s">
        <v>196</v>
      </c>
      <c r="U240">
        <v>110</v>
      </c>
      <c r="V240">
        <v>5</v>
      </c>
      <c r="Y240">
        <v>80</v>
      </c>
      <c r="Z240">
        <v>2</v>
      </c>
      <c r="AA240">
        <v>4000</v>
      </c>
      <c r="AB240">
        <v>0</v>
      </c>
      <c r="AK240">
        <v>1</v>
      </c>
    </row>
    <row r="241" spans="1:60" x14ac:dyDescent="0.3">
      <c r="A241">
        <v>2</v>
      </c>
      <c r="B241" s="1">
        <v>44928</v>
      </c>
      <c r="C241" s="1">
        <v>44995</v>
      </c>
      <c r="D241">
        <v>38</v>
      </c>
      <c r="E241" t="s">
        <v>964</v>
      </c>
      <c r="F241">
        <v>270</v>
      </c>
      <c r="G241" t="s">
        <v>1277</v>
      </c>
      <c r="H241" t="s">
        <v>965</v>
      </c>
      <c r="I241" t="s">
        <v>597</v>
      </c>
      <c r="J241" t="s">
        <v>966</v>
      </c>
      <c r="L241">
        <v>2</v>
      </c>
      <c r="M241">
        <v>2</v>
      </c>
      <c r="N241">
        <v>0</v>
      </c>
      <c r="O241">
        <v>0</v>
      </c>
      <c r="P241">
        <v>0</v>
      </c>
      <c r="Q241" t="s">
        <v>69</v>
      </c>
      <c r="R241" t="s">
        <v>1309</v>
      </c>
      <c r="S241" t="s">
        <v>436</v>
      </c>
      <c r="T241" t="s">
        <v>436</v>
      </c>
      <c r="U241">
        <v>1200</v>
      </c>
      <c r="V241">
        <v>125</v>
      </c>
      <c r="Y241">
        <v>100</v>
      </c>
      <c r="Z241">
        <v>1</v>
      </c>
      <c r="AA241">
        <v>10000</v>
      </c>
      <c r="AB241">
        <v>0</v>
      </c>
    </row>
    <row r="242" spans="1:60" x14ac:dyDescent="0.3">
      <c r="A242">
        <v>2</v>
      </c>
      <c r="B242" s="1">
        <v>44928</v>
      </c>
      <c r="C242" s="1">
        <v>44995</v>
      </c>
      <c r="D242">
        <v>38</v>
      </c>
      <c r="E242" t="s">
        <v>964</v>
      </c>
      <c r="F242">
        <v>271</v>
      </c>
      <c r="G242" t="s">
        <v>967</v>
      </c>
      <c r="H242" t="s">
        <v>967</v>
      </c>
      <c r="I242" t="s">
        <v>66</v>
      </c>
      <c r="J242" t="s">
        <v>968</v>
      </c>
      <c r="K242" t="s">
        <v>969</v>
      </c>
      <c r="L242">
        <v>1</v>
      </c>
      <c r="M242">
        <v>1</v>
      </c>
      <c r="N242">
        <v>0</v>
      </c>
      <c r="O242">
        <v>0</v>
      </c>
      <c r="P242">
        <v>0</v>
      </c>
      <c r="Q242" t="s">
        <v>69</v>
      </c>
      <c r="R242" t="s">
        <v>1309</v>
      </c>
      <c r="S242" t="s">
        <v>134</v>
      </c>
      <c r="T242" t="s">
        <v>99</v>
      </c>
      <c r="V242">
        <v>62</v>
      </c>
      <c r="Y242">
        <v>90</v>
      </c>
      <c r="Z242">
        <v>1.5</v>
      </c>
      <c r="AA242">
        <v>6000</v>
      </c>
      <c r="AB242">
        <v>0</v>
      </c>
    </row>
    <row r="243" spans="1:60" x14ac:dyDescent="0.3">
      <c r="A243">
        <v>2</v>
      </c>
      <c r="B243" s="1">
        <v>44928</v>
      </c>
      <c r="C243" s="1">
        <v>44995</v>
      </c>
      <c r="D243">
        <v>38</v>
      </c>
      <c r="E243" t="s">
        <v>964</v>
      </c>
      <c r="F243">
        <v>272</v>
      </c>
      <c r="G243" t="s">
        <v>1278</v>
      </c>
      <c r="H243" t="s">
        <v>970</v>
      </c>
      <c r="I243" t="s">
        <v>286</v>
      </c>
      <c r="J243" t="s">
        <v>971</v>
      </c>
      <c r="K243" t="s">
        <v>972</v>
      </c>
      <c r="L243">
        <v>3</v>
      </c>
      <c r="M243">
        <v>3</v>
      </c>
      <c r="N243">
        <v>0</v>
      </c>
      <c r="O243">
        <v>0</v>
      </c>
      <c r="P243">
        <v>0</v>
      </c>
      <c r="Q243" t="s">
        <v>75</v>
      </c>
      <c r="R243" t="s">
        <v>1309</v>
      </c>
      <c r="S243" t="s">
        <v>417</v>
      </c>
      <c r="T243" t="s">
        <v>345</v>
      </c>
      <c r="Y243">
        <v>67</v>
      </c>
      <c r="Z243">
        <v>2</v>
      </c>
      <c r="AA243">
        <v>3350</v>
      </c>
      <c r="AB243">
        <v>1</v>
      </c>
      <c r="AC243">
        <v>1</v>
      </c>
      <c r="AD243">
        <v>67</v>
      </c>
      <c r="AE243">
        <v>3</v>
      </c>
      <c r="AH243">
        <v>2233.333333</v>
      </c>
      <c r="AI243">
        <v>2</v>
      </c>
      <c r="AX243">
        <v>33.5</v>
      </c>
      <c r="AY243">
        <v>1.5</v>
      </c>
      <c r="BG243">
        <v>33.5</v>
      </c>
      <c r="BH243">
        <v>1.5</v>
      </c>
    </row>
    <row r="244" spans="1:60" x14ac:dyDescent="0.3">
      <c r="A244">
        <v>2</v>
      </c>
      <c r="B244" s="1">
        <v>44928</v>
      </c>
      <c r="C244" s="1">
        <v>44995</v>
      </c>
      <c r="D244">
        <v>38</v>
      </c>
      <c r="E244" t="s">
        <v>964</v>
      </c>
      <c r="F244">
        <v>273</v>
      </c>
      <c r="G244" t="s">
        <v>973</v>
      </c>
      <c r="H244" t="s">
        <v>973</v>
      </c>
      <c r="I244" t="s">
        <v>72</v>
      </c>
      <c r="J244" t="s">
        <v>974</v>
      </c>
      <c r="K244" t="s">
        <v>975</v>
      </c>
      <c r="L244">
        <v>1</v>
      </c>
      <c r="M244">
        <v>1</v>
      </c>
      <c r="N244">
        <v>0</v>
      </c>
      <c r="O244">
        <v>0</v>
      </c>
      <c r="P244">
        <v>0</v>
      </c>
      <c r="Q244" t="s">
        <v>69</v>
      </c>
      <c r="R244" t="s">
        <v>1309</v>
      </c>
      <c r="S244" t="s">
        <v>86</v>
      </c>
      <c r="T244" t="s">
        <v>87</v>
      </c>
      <c r="Y244">
        <v>50</v>
      </c>
      <c r="Z244">
        <v>3</v>
      </c>
      <c r="AA244">
        <v>1666.666667</v>
      </c>
      <c r="AB244">
        <v>0</v>
      </c>
    </row>
    <row r="245" spans="1:60" x14ac:dyDescent="0.3">
      <c r="A245">
        <v>2</v>
      </c>
      <c r="B245" s="1">
        <v>44928</v>
      </c>
      <c r="C245" s="1">
        <v>44995</v>
      </c>
      <c r="D245">
        <v>39</v>
      </c>
      <c r="E245" t="s">
        <v>976</v>
      </c>
      <c r="F245">
        <v>274</v>
      </c>
      <c r="G245" t="s">
        <v>1279</v>
      </c>
      <c r="H245" t="s">
        <v>977</v>
      </c>
      <c r="I245" t="s">
        <v>66</v>
      </c>
      <c r="J245" t="s">
        <v>978</v>
      </c>
      <c r="K245" t="s">
        <v>979</v>
      </c>
      <c r="L245">
        <v>2</v>
      </c>
      <c r="M245">
        <v>1</v>
      </c>
      <c r="N245">
        <v>1</v>
      </c>
      <c r="O245">
        <v>0</v>
      </c>
      <c r="P245">
        <v>0</v>
      </c>
      <c r="Q245" t="s">
        <v>69</v>
      </c>
      <c r="R245">
        <v>2022</v>
      </c>
      <c r="S245" t="s">
        <v>195</v>
      </c>
      <c r="T245" t="s">
        <v>196</v>
      </c>
      <c r="U245">
        <v>-1</v>
      </c>
      <c r="V245">
        <v>24</v>
      </c>
      <c r="Y245">
        <v>50</v>
      </c>
      <c r="Z245">
        <v>2</v>
      </c>
      <c r="AA245">
        <v>2500</v>
      </c>
      <c r="AB245">
        <v>1</v>
      </c>
      <c r="AC245">
        <v>1</v>
      </c>
      <c r="AD245">
        <v>50</v>
      </c>
      <c r="AE245">
        <v>3.5</v>
      </c>
      <c r="AH245">
        <v>1428.5714290000001</v>
      </c>
      <c r="AI245">
        <v>3</v>
      </c>
      <c r="AO245">
        <v>16.66</v>
      </c>
      <c r="AP245">
        <v>1.1666000000000001</v>
      </c>
      <c r="AX245">
        <v>16.66</v>
      </c>
      <c r="AY245">
        <v>1.1666000000000001</v>
      </c>
      <c r="BG245">
        <v>16.66</v>
      </c>
      <c r="BH245">
        <v>1.1666000000000001</v>
      </c>
    </row>
    <row r="246" spans="1:60" x14ac:dyDescent="0.3">
      <c r="A246">
        <v>2</v>
      </c>
      <c r="B246" s="1">
        <v>44928</v>
      </c>
      <c r="C246" s="1">
        <v>44995</v>
      </c>
      <c r="D246">
        <v>39</v>
      </c>
      <c r="E246" t="s">
        <v>976</v>
      </c>
      <c r="F246">
        <v>275</v>
      </c>
      <c r="G246" t="s">
        <v>980</v>
      </c>
      <c r="H246" t="s">
        <v>980</v>
      </c>
      <c r="I246" t="s">
        <v>173</v>
      </c>
      <c r="J246" t="s">
        <v>981</v>
      </c>
      <c r="K246" t="s">
        <v>982</v>
      </c>
      <c r="L246">
        <v>3</v>
      </c>
      <c r="M246">
        <v>3</v>
      </c>
      <c r="N246">
        <v>0</v>
      </c>
      <c r="O246">
        <v>0</v>
      </c>
      <c r="P246">
        <v>0</v>
      </c>
      <c r="Q246" t="s">
        <v>69</v>
      </c>
      <c r="R246">
        <v>2022</v>
      </c>
      <c r="S246" t="s">
        <v>86</v>
      </c>
      <c r="T246" t="s">
        <v>87</v>
      </c>
      <c r="V246">
        <v>24</v>
      </c>
      <c r="Y246">
        <v>100</v>
      </c>
      <c r="Z246">
        <v>1.5</v>
      </c>
      <c r="AA246">
        <v>6666.6666670000004</v>
      </c>
      <c r="AB246">
        <v>1</v>
      </c>
      <c r="AC246">
        <v>1</v>
      </c>
      <c r="AD246">
        <v>200</v>
      </c>
      <c r="AE246">
        <v>5</v>
      </c>
      <c r="AH246">
        <v>4000</v>
      </c>
      <c r="AI246">
        <v>5</v>
      </c>
      <c r="AO246">
        <v>40</v>
      </c>
      <c r="AP246">
        <v>1</v>
      </c>
      <c r="AR246">
        <v>40</v>
      </c>
      <c r="AS246">
        <v>1</v>
      </c>
      <c r="AX246">
        <v>40</v>
      </c>
      <c r="AY246">
        <v>1</v>
      </c>
      <c r="BA246">
        <v>40</v>
      </c>
      <c r="BB246">
        <v>1</v>
      </c>
      <c r="BG246">
        <v>40</v>
      </c>
      <c r="BH246">
        <v>1</v>
      </c>
    </row>
    <row r="247" spans="1:60" x14ac:dyDescent="0.3">
      <c r="A247">
        <v>2</v>
      </c>
      <c r="B247" s="1">
        <v>44928</v>
      </c>
      <c r="C247" s="1">
        <v>44995</v>
      </c>
      <c r="D247">
        <v>39</v>
      </c>
      <c r="E247" t="s">
        <v>976</v>
      </c>
      <c r="F247">
        <v>276</v>
      </c>
      <c r="G247" t="s">
        <v>1280</v>
      </c>
      <c r="H247" t="s">
        <v>983</v>
      </c>
      <c r="I247" t="s">
        <v>66</v>
      </c>
      <c r="J247" t="s">
        <v>984</v>
      </c>
      <c r="K247" t="s">
        <v>985</v>
      </c>
      <c r="L247">
        <v>2</v>
      </c>
      <c r="M247">
        <v>2</v>
      </c>
      <c r="N247">
        <v>0</v>
      </c>
      <c r="O247">
        <v>0</v>
      </c>
      <c r="P247">
        <v>0</v>
      </c>
      <c r="Q247" t="s">
        <v>69</v>
      </c>
      <c r="R247">
        <v>2020</v>
      </c>
      <c r="S247" t="s">
        <v>185</v>
      </c>
      <c r="T247" t="s">
        <v>186</v>
      </c>
      <c r="U247">
        <v>256</v>
      </c>
      <c r="V247">
        <v>20</v>
      </c>
      <c r="W247">
        <v>70</v>
      </c>
      <c r="X247">
        <v>3</v>
      </c>
      <c r="Y247">
        <v>65</v>
      </c>
      <c r="Z247">
        <v>3</v>
      </c>
      <c r="AA247">
        <v>2166.666667</v>
      </c>
      <c r="AB247">
        <v>0</v>
      </c>
    </row>
    <row r="248" spans="1:60" x14ac:dyDescent="0.3">
      <c r="A248">
        <v>2</v>
      </c>
      <c r="B248" s="1">
        <v>44928</v>
      </c>
      <c r="C248" s="1">
        <v>44995</v>
      </c>
      <c r="D248">
        <v>39</v>
      </c>
      <c r="E248" t="s">
        <v>976</v>
      </c>
      <c r="F248">
        <v>277</v>
      </c>
      <c r="G248" t="s">
        <v>986</v>
      </c>
      <c r="H248" t="s">
        <v>986</v>
      </c>
      <c r="I248" t="s">
        <v>635</v>
      </c>
      <c r="J248" t="s">
        <v>987</v>
      </c>
      <c r="K248" t="s">
        <v>988</v>
      </c>
      <c r="L248">
        <v>1</v>
      </c>
      <c r="M248">
        <v>1</v>
      </c>
      <c r="N248">
        <v>0</v>
      </c>
      <c r="O248">
        <v>0</v>
      </c>
      <c r="P248">
        <v>0</v>
      </c>
      <c r="Q248" t="s">
        <v>69</v>
      </c>
      <c r="R248" t="s">
        <v>1309</v>
      </c>
      <c r="S248" t="s">
        <v>134</v>
      </c>
      <c r="T248" t="s">
        <v>99</v>
      </c>
      <c r="W248">
        <v>56</v>
      </c>
      <c r="X248">
        <v>35</v>
      </c>
      <c r="Y248">
        <v>100</v>
      </c>
      <c r="Z248">
        <v>10</v>
      </c>
      <c r="AA248">
        <v>1000</v>
      </c>
      <c r="AB248">
        <v>0</v>
      </c>
    </row>
    <row r="249" spans="1:60" x14ac:dyDescent="0.3">
      <c r="A249">
        <v>2</v>
      </c>
      <c r="B249" s="1">
        <v>44928</v>
      </c>
      <c r="C249" s="1">
        <v>44995</v>
      </c>
      <c r="D249">
        <v>40</v>
      </c>
      <c r="E249" t="s">
        <v>989</v>
      </c>
      <c r="F249">
        <v>278</v>
      </c>
      <c r="G249" t="s">
        <v>990</v>
      </c>
      <c r="H249" t="s">
        <v>990</v>
      </c>
      <c r="I249" t="s">
        <v>225</v>
      </c>
      <c r="J249" t="s">
        <v>991</v>
      </c>
      <c r="K249" t="s">
        <v>992</v>
      </c>
      <c r="L249">
        <v>3</v>
      </c>
      <c r="M249">
        <v>3</v>
      </c>
      <c r="N249">
        <v>0</v>
      </c>
      <c r="O249">
        <v>0</v>
      </c>
      <c r="P249">
        <v>0</v>
      </c>
      <c r="Q249" t="s">
        <v>69</v>
      </c>
      <c r="R249">
        <v>2022</v>
      </c>
      <c r="S249" t="s">
        <v>155</v>
      </c>
      <c r="T249" t="s">
        <v>156</v>
      </c>
      <c r="U249">
        <v>0</v>
      </c>
      <c r="Y249">
        <v>120</v>
      </c>
      <c r="Z249">
        <v>0.2</v>
      </c>
      <c r="AA249">
        <v>60000</v>
      </c>
      <c r="AB249">
        <v>1</v>
      </c>
      <c r="AC249">
        <v>1</v>
      </c>
      <c r="AD249">
        <v>60</v>
      </c>
      <c r="AE249">
        <v>0.54</v>
      </c>
      <c r="AF249">
        <v>60</v>
      </c>
      <c r="AG249">
        <v>12</v>
      </c>
      <c r="AH249">
        <v>11111.11111</v>
      </c>
      <c r="AI249">
        <v>2</v>
      </c>
      <c r="AX249">
        <v>30</v>
      </c>
      <c r="AY249">
        <v>0.27</v>
      </c>
      <c r="AZ249">
        <v>30</v>
      </c>
      <c r="BA249">
        <v>30</v>
      </c>
      <c r="BB249">
        <v>0.27</v>
      </c>
      <c r="BC249">
        <v>30</v>
      </c>
    </row>
    <row r="250" spans="1:60" x14ac:dyDescent="0.3">
      <c r="A250">
        <v>2</v>
      </c>
      <c r="B250" s="1">
        <v>44928</v>
      </c>
      <c r="C250" s="1">
        <v>44995</v>
      </c>
      <c r="D250">
        <v>40</v>
      </c>
      <c r="E250" t="s">
        <v>989</v>
      </c>
      <c r="F250">
        <v>279</v>
      </c>
      <c r="G250" t="s">
        <v>1281</v>
      </c>
      <c r="H250" t="s">
        <v>993</v>
      </c>
      <c r="I250" t="s">
        <v>66</v>
      </c>
      <c r="J250" t="s">
        <v>994</v>
      </c>
      <c r="K250" t="s">
        <v>995</v>
      </c>
      <c r="L250">
        <v>2</v>
      </c>
      <c r="M250">
        <v>2</v>
      </c>
      <c r="N250">
        <v>0</v>
      </c>
      <c r="O250">
        <v>0</v>
      </c>
      <c r="P250">
        <v>0</v>
      </c>
      <c r="Q250" t="s">
        <v>75</v>
      </c>
      <c r="R250" t="s">
        <v>1309</v>
      </c>
      <c r="S250" t="s">
        <v>70</v>
      </c>
      <c r="T250" t="s">
        <v>70</v>
      </c>
      <c r="X250">
        <v>40</v>
      </c>
      <c r="Y250">
        <v>100</v>
      </c>
      <c r="Z250">
        <v>2.5</v>
      </c>
      <c r="AA250">
        <v>4000</v>
      </c>
      <c r="AB250">
        <v>1</v>
      </c>
      <c r="AC250">
        <v>0</v>
      </c>
    </row>
    <row r="251" spans="1:60" x14ac:dyDescent="0.3">
      <c r="A251">
        <v>2</v>
      </c>
      <c r="B251" s="1">
        <v>44928</v>
      </c>
      <c r="C251" s="1">
        <v>44995</v>
      </c>
      <c r="D251">
        <v>40</v>
      </c>
      <c r="E251" t="s">
        <v>989</v>
      </c>
      <c r="F251">
        <v>280</v>
      </c>
      <c r="G251" t="s">
        <v>1282</v>
      </c>
      <c r="H251" t="s">
        <v>996</v>
      </c>
      <c r="I251" t="s">
        <v>95</v>
      </c>
      <c r="J251" t="s">
        <v>997</v>
      </c>
      <c r="K251" t="s">
        <v>998</v>
      </c>
      <c r="L251">
        <v>2</v>
      </c>
      <c r="M251">
        <v>2</v>
      </c>
      <c r="N251">
        <v>0</v>
      </c>
      <c r="O251">
        <v>0</v>
      </c>
      <c r="P251">
        <v>0</v>
      </c>
      <c r="Q251" t="s">
        <v>69</v>
      </c>
      <c r="R251" t="s">
        <v>1309</v>
      </c>
      <c r="S251" t="s">
        <v>394</v>
      </c>
      <c r="T251" t="s">
        <v>77</v>
      </c>
      <c r="U251">
        <v>-1</v>
      </c>
      <c r="W251">
        <v>22</v>
      </c>
      <c r="Y251">
        <v>100</v>
      </c>
      <c r="Z251">
        <v>1</v>
      </c>
      <c r="AA251">
        <v>10000</v>
      </c>
      <c r="AB251">
        <v>1</v>
      </c>
      <c r="AC251">
        <v>1</v>
      </c>
      <c r="AD251">
        <v>50</v>
      </c>
      <c r="AE251">
        <v>1</v>
      </c>
      <c r="AF251">
        <v>50</v>
      </c>
      <c r="AG251">
        <v>10</v>
      </c>
      <c r="AH251">
        <v>5000</v>
      </c>
      <c r="AI251">
        <v>2</v>
      </c>
      <c r="AO251">
        <v>25</v>
      </c>
      <c r="AP251">
        <v>0.5</v>
      </c>
      <c r="AQ251">
        <v>25</v>
      </c>
      <c r="BA251">
        <v>25</v>
      </c>
      <c r="BB251">
        <v>0.5</v>
      </c>
      <c r="BC251">
        <v>25</v>
      </c>
    </row>
    <row r="252" spans="1:60" x14ac:dyDescent="0.3">
      <c r="A252">
        <v>2</v>
      </c>
      <c r="B252" s="1">
        <v>44928</v>
      </c>
      <c r="C252" s="1">
        <v>44995</v>
      </c>
      <c r="D252">
        <v>41</v>
      </c>
      <c r="E252" t="s">
        <v>999</v>
      </c>
      <c r="F252">
        <v>281</v>
      </c>
      <c r="G252" t="s">
        <v>1000</v>
      </c>
      <c r="H252" t="s">
        <v>1000</v>
      </c>
      <c r="I252" t="s">
        <v>66</v>
      </c>
      <c r="J252" t="s">
        <v>1001</v>
      </c>
      <c r="K252" t="s">
        <v>1002</v>
      </c>
      <c r="L252">
        <v>4</v>
      </c>
      <c r="M252">
        <v>4</v>
      </c>
      <c r="N252">
        <v>0</v>
      </c>
      <c r="O252">
        <v>0</v>
      </c>
      <c r="P252">
        <v>0</v>
      </c>
      <c r="Q252" t="s">
        <v>75</v>
      </c>
      <c r="R252">
        <v>2018</v>
      </c>
      <c r="S252" t="s">
        <v>1003</v>
      </c>
      <c r="T252" t="s">
        <v>77</v>
      </c>
      <c r="V252">
        <v>2.5</v>
      </c>
      <c r="W252">
        <v>40</v>
      </c>
      <c r="Y252">
        <v>200</v>
      </c>
      <c r="Z252">
        <v>2</v>
      </c>
      <c r="AA252">
        <v>10000</v>
      </c>
      <c r="AB252">
        <v>0</v>
      </c>
    </row>
    <row r="253" spans="1:60" x14ac:dyDescent="0.3">
      <c r="A253">
        <v>2</v>
      </c>
      <c r="B253" s="1">
        <v>44928</v>
      </c>
      <c r="C253" s="1">
        <v>44995</v>
      </c>
      <c r="D253">
        <v>41</v>
      </c>
      <c r="E253" t="s">
        <v>999</v>
      </c>
      <c r="F253">
        <v>282</v>
      </c>
      <c r="G253" t="s">
        <v>1004</v>
      </c>
      <c r="H253" t="s">
        <v>1004</v>
      </c>
      <c r="I253" t="s">
        <v>173</v>
      </c>
      <c r="J253" t="s">
        <v>1005</v>
      </c>
      <c r="K253" t="s">
        <v>1006</v>
      </c>
      <c r="L253">
        <v>2</v>
      </c>
      <c r="M253">
        <v>2</v>
      </c>
      <c r="N253">
        <v>0</v>
      </c>
      <c r="O253">
        <v>0</v>
      </c>
      <c r="P253">
        <v>0</v>
      </c>
      <c r="Q253" t="s">
        <v>69</v>
      </c>
      <c r="R253" t="s">
        <v>1309</v>
      </c>
      <c r="S253" t="s">
        <v>190</v>
      </c>
      <c r="T253" t="s">
        <v>191</v>
      </c>
      <c r="Y253">
        <v>150</v>
      </c>
      <c r="Z253">
        <v>1</v>
      </c>
      <c r="AA253">
        <v>15000</v>
      </c>
      <c r="AB253">
        <v>1</v>
      </c>
      <c r="AC253">
        <v>1</v>
      </c>
      <c r="AD253">
        <v>150</v>
      </c>
      <c r="AE253">
        <v>2</v>
      </c>
      <c r="AH253">
        <v>7500</v>
      </c>
      <c r="AI253">
        <v>4</v>
      </c>
      <c r="AK253">
        <v>1</v>
      </c>
      <c r="AR253">
        <v>37.5</v>
      </c>
      <c r="AS253">
        <v>0.5</v>
      </c>
      <c r="AU253">
        <v>37.5</v>
      </c>
      <c r="AV253">
        <v>0.5</v>
      </c>
      <c r="AX253">
        <v>37.5</v>
      </c>
      <c r="AY253">
        <v>0.5</v>
      </c>
      <c r="BA253">
        <v>37.5</v>
      </c>
      <c r="BB253">
        <v>0.5</v>
      </c>
    </row>
    <row r="254" spans="1:60" x14ac:dyDescent="0.3">
      <c r="A254">
        <v>2</v>
      </c>
      <c r="B254" s="1">
        <v>44928</v>
      </c>
      <c r="C254" s="1">
        <v>44995</v>
      </c>
      <c r="D254">
        <v>41</v>
      </c>
      <c r="E254" t="s">
        <v>999</v>
      </c>
      <c r="F254">
        <v>283</v>
      </c>
      <c r="G254" t="s">
        <v>1283</v>
      </c>
      <c r="H254" t="s">
        <v>1007</v>
      </c>
      <c r="I254" t="s">
        <v>182</v>
      </c>
      <c r="J254" t="s">
        <v>1008</v>
      </c>
      <c r="K254" t="s">
        <v>1009</v>
      </c>
      <c r="L254">
        <v>4</v>
      </c>
      <c r="M254">
        <v>2</v>
      </c>
      <c r="N254">
        <v>2</v>
      </c>
      <c r="O254">
        <v>0</v>
      </c>
      <c r="P254">
        <v>1</v>
      </c>
      <c r="Q254" t="s">
        <v>69</v>
      </c>
      <c r="R254">
        <v>2016</v>
      </c>
      <c r="S254" t="s">
        <v>134</v>
      </c>
      <c r="T254" t="s">
        <v>99</v>
      </c>
      <c r="W254">
        <v>30</v>
      </c>
      <c r="Y254">
        <v>150</v>
      </c>
      <c r="Z254">
        <v>1</v>
      </c>
      <c r="AA254">
        <v>15000</v>
      </c>
      <c r="AB254">
        <v>1</v>
      </c>
      <c r="AC254">
        <v>1</v>
      </c>
      <c r="AD254">
        <v>80</v>
      </c>
      <c r="AE254">
        <v>2</v>
      </c>
      <c r="AF254">
        <v>70</v>
      </c>
      <c r="AH254">
        <v>4000</v>
      </c>
      <c r="AI254">
        <v>1</v>
      </c>
      <c r="AX254">
        <v>80</v>
      </c>
      <c r="AY254">
        <v>2</v>
      </c>
      <c r="AZ254">
        <v>70</v>
      </c>
    </row>
    <row r="255" spans="1:60" x14ac:dyDescent="0.3">
      <c r="A255">
        <v>2</v>
      </c>
      <c r="B255" s="1">
        <v>44928</v>
      </c>
      <c r="C255" s="1">
        <v>44995</v>
      </c>
      <c r="D255">
        <v>41</v>
      </c>
      <c r="E255" t="s">
        <v>999</v>
      </c>
      <c r="F255">
        <v>284</v>
      </c>
      <c r="G255" t="s">
        <v>1284</v>
      </c>
      <c r="H255" t="s">
        <v>1010</v>
      </c>
      <c r="I255" t="s">
        <v>66</v>
      </c>
      <c r="J255" t="s">
        <v>1011</v>
      </c>
      <c r="K255" t="s">
        <v>1012</v>
      </c>
      <c r="L255">
        <v>2</v>
      </c>
      <c r="M255">
        <v>1</v>
      </c>
      <c r="N255">
        <v>1</v>
      </c>
      <c r="O255">
        <v>0</v>
      </c>
      <c r="P255">
        <v>0</v>
      </c>
      <c r="Q255" t="s">
        <v>69</v>
      </c>
      <c r="R255" t="s">
        <v>1309</v>
      </c>
      <c r="S255" t="s">
        <v>185</v>
      </c>
      <c r="T255" t="s">
        <v>186</v>
      </c>
      <c r="V255">
        <v>30</v>
      </c>
      <c r="Y255">
        <v>50</v>
      </c>
      <c r="Z255">
        <v>3</v>
      </c>
      <c r="AA255">
        <v>1666.666667</v>
      </c>
      <c r="AB255">
        <v>1</v>
      </c>
      <c r="AC255">
        <v>1</v>
      </c>
      <c r="AD255">
        <v>60</v>
      </c>
      <c r="AE255">
        <v>4.76</v>
      </c>
      <c r="AH255">
        <v>1260.5042020000001</v>
      </c>
      <c r="AI255">
        <v>3</v>
      </c>
      <c r="AR255">
        <v>20</v>
      </c>
      <c r="AS255">
        <v>1.5860000000000001</v>
      </c>
      <c r="AU255">
        <v>20</v>
      </c>
      <c r="AV255">
        <v>1.5860000000000001</v>
      </c>
      <c r="AX255">
        <v>20</v>
      </c>
      <c r="AY255">
        <v>1.5860000000000001</v>
      </c>
    </row>
    <row r="256" spans="1:60" x14ac:dyDescent="0.3">
      <c r="A256">
        <v>2</v>
      </c>
      <c r="B256" s="1">
        <v>44928</v>
      </c>
      <c r="C256" s="1">
        <v>44995</v>
      </c>
      <c r="D256">
        <v>42</v>
      </c>
      <c r="E256" t="s">
        <v>1013</v>
      </c>
      <c r="F256">
        <v>285</v>
      </c>
      <c r="G256" t="s">
        <v>1285</v>
      </c>
      <c r="H256" t="s">
        <v>1014</v>
      </c>
      <c r="I256" t="s">
        <v>597</v>
      </c>
      <c r="J256" t="s">
        <v>1015</v>
      </c>
      <c r="K256" t="s">
        <v>1016</v>
      </c>
      <c r="L256">
        <v>2</v>
      </c>
      <c r="M256">
        <v>2</v>
      </c>
      <c r="N256">
        <v>0</v>
      </c>
      <c r="O256">
        <v>0</v>
      </c>
      <c r="P256">
        <v>0</v>
      </c>
      <c r="Q256" t="s">
        <v>69</v>
      </c>
      <c r="R256">
        <v>2018</v>
      </c>
      <c r="S256" t="s">
        <v>70</v>
      </c>
      <c r="T256" t="s">
        <v>70</v>
      </c>
      <c r="U256">
        <v>-1</v>
      </c>
      <c r="Y256">
        <v>100</v>
      </c>
      <c r="Z256">
        <v>0.75</v>
      </c>
      <c r="AA256">
        <v>13333.333329999999</v>
      </c>
      <c r="AB256">
        <v>0</v>
      </c>
    </row>
    <row r="257" spans="1:61" x14ac:dyDescent="0.3">
      <c r="A257">
        <v>2</v>
      </c>
      <c r="B257" s="1">
        <v>44928</v>
      </c>
      <c r="C257" s="1">
        <v>44995</v>
      </c>
      <c r="D257">
        <v>42</v>
      </c>
      <c r="E257" t="s">
        <v>1013</v>
      </c>
      <c r="F257">
        <v>286</v>
      </c>
      <c r="G257" t="s">
        <v>1286</v>
      </c>
      <c r="H257" t="s">
        <v>1017</v>
      </c>
      <c r="I257" t="s">
        <v>597</v>
      </c>
      <c r="J257" t="s">
        <v>1018</v>
      </c>
      <c r="K257" t="s">
        <v>1019</v>
      </c>
      <c r="L257">
        <v>2</v>
      </c>
      <c r="M257">
        <v>2</v>
      </c>
      <c r="N257">
        <v>0</v>
      </c>
      <c r="O257">
        <v>0</v>
      </c>
      <c r="P257">
        <v>0</v>
      </c>
      <c r="Q257" t="s">
        <v>69</v>
      </c>
      <c r="R257">
        <v>2017</v>
      </c>
      <c r="S257" t="s">
        <v>86</v>
      </c>
      <c r="T257" t="s">
        <v>87</v>
      </c>
      <c r="U257">
        <v>75</v>
      </c>
      <c r="W257">
        <v>45</v>
      </c>
      <c r="X257">
        <v>35</v>
      </c>
      <c r="Y257">
        <v>80</v>
      </c>
      <c r="Z257">
        <v>15</v>
      </c>
      <c r="AA257">
        <v>533.33333330000005</v>
      </c>
      <c r="AB257">
        <v>0</v>
      </c>
    </row>
    <row r="258" spans="1:61" x14ac:dyDescent="0.3">
      <c r="A258">
        <v>2</v>
      </c>
      <c r="B258" s="1">
        <v>44928</v>
      </c>
      <c r="C258" s="1">
        <v>44995</v>
      </c>
      <c r="D258">
        <v>42</v>
      </c>
      <c r="E258" t="s">
        <v>1013</v>
      </c>
      <c r="F258">
        <v>287</v>
      </c>
      <c r="G258" t="s">
        <v>1287</v>
      </c>
      <c r="H258" t="s">
        <v>1020</v>
      </c>
      <c r="I258" t="s">
        <v>72</v>
      </c>
      <c r="J258" t="s">
        <v>1021</v>
      </c>
      <c r="K258" t="s">
        <v>1022</v>
      </c>
      <c r="L258">
        <v>2</v>
      </c>
      <c r="M258">
        <v>2</v>
      </c>
      <c r="N258">
        <v>0</v>
      </c>
      <c r="O258">
        <v>0</v>
      </c>
      <c r="P258">
        <v>0</v>
      </c>
      <c r="Q258" t="s">
        <v>69</v>
      </c>
      <c r="R258" t="s">
        <v>1309</v>
      </c>
      <c r="S258" t="s">
        <v>86</v>
      </c>
      <c r="T258" t="s">
        <v>87</v>
      </c>
      <c r="U258">
        <v>54</v>
      </c>
      <c r="V258">
        <v>25</v>
      </c>
      <c r="Y258">
        <v>75</v>
      </c>
      <c r="Z258">
        <v>1</v>
      </c>
      <c r="AA258">
        <v>7500</v>
      </c>
      <c r="AB258">
        <v>0</v>
      </c>
    </row>
    <row r="259" spans="1:61" x14ac:dyDescent="0.3">
      <c r="A259">
        <v>2</v>
      </c>
      <c r="B259" s="1">
        <v>44928</v>
      </c>
      <c r="C259" s="1">
        <v>44995</v>
      </c>
      <c r="D259">
        <v>42</v>
      </c>
      <c r="E259" t="s">
        <v>1013</v>
      </c>
      <c r="F259">
        <v>288</v>
      </c>
      <c r="G259" t="s">
        <v>1023</v>
      </c>
      <c r="H259" t="s">
        <v>1023</v>
      </c>
      <c r="I259" t="s">
        <v>225</v>
      </c>
      <c r="J259" t="s">
        <v>1024</v>
      </c>
      <c r="K259" t="s">
        <v>1025</v>
      </c>
      <c r="L259">
        <v>1</v>
      </c>
      <c r="M259">
        <v>1</v>
      </c>
      <c r="N259">
        <v>0</v>
      </c>
      <c r="O259">
        <v>0</v>
      </c>
      <c r="P259">
        <v>0</v>
      </c>
      <c r="Q259" t="s">
        <v>69</v>
      </c>
      <c r="R259" t="s">
        <v>1309</v>
      </c>
      <c r="S259" t="s">
        <v>86</v>
      </c>
      <c r="T259" t="s">
        <v>87</v>
      </c>
      <c r="U259">
        <v>120</v>
      </c>
      <c r="V259">
        <v>22</v>
      </c>
      <c r="W259">
        <v>50</v>
      </c>
      <c r="X259">
        <v>8</v>
      </c>
      <c r="Y259">
        <v>40</v>
      </c>
      <c r="Z259">
        <v>1</v>
      </c>
      <c r="AA259">
        <v>4000</v>
      </c>
      <c r="AB259">
        <v>0</v>
      </c>
    </row>
    <row r="260" spans="1:61" x14ac:dyDescent="0.3">
      <c r="A260">
        <v>2</v>
      </c>
      <c r="B260" s="1">
        <v>44928</v>
      </c>
      <c r="C260" s="1">
        <v>44995</v>
      </c>
      <c r="D260">
        <v>43</v>
      </c>
      <c r="E260" t="s">
        <v>1026</v>
      </c>
      <c r="F260">
        <v>289</v>
      </c>
      <c r="G260" t="s">
        <v>1027</v>
      </c>
      <c r="H260" t="s">
        <v>1027</v>
      </c>
      <c r="I260" t="s">
        <v>66</v>
      </c>
      <c r="J260" t="s">
        <v>1028</v>
      </c>
      <c r="L260">
        <v>1</v>
      </c>
      <c r="M260">
        <v>1</v>
      </c>
      <c r="N260">
        <v>0</v>
      </c>
      <c r="O260">
        <v>0</v>
      </c>
      <c r="P260">
        <v>0</v>
      </c>
      <c r="Q260" t="s">
        <v>69</v>
      </c>
      <c r="R260" t="s">
        <v>1309</v>
      </c>
      <c r="S260" t="s">
        <v>185</v>
      </c>
      <c r="T260" t="s">
        <v>186</v>
      </c>
      <c r="Y260">
        <v>75</v>
      </c>
      <c r="Z260">
        <v>5</v>
      </c>
      <c r="AA260">
        <v>1500</v>
      </c>
      <c r="AB260">
        <v>0</v>
      </c>
    </row>
    <row r="261" spans="1:61" x14ac:dyDescent="0.3">
      <c r="A261">
        <v>2</v>
      </c>
      <c r="B261" s="1">
        <v>44928</v>
      </c>
      <c r="C261" s="1">
        <v>44995</v>
      </c>
      <c r="D261">
        <v>43</v>
      </c>
      <c r="E261" t="s">
        <v>1026</v>
      </c>
      <c r="F261">
        <v>290</v>
      </c>
      <c r="G261" t="s">
        <v>1288</v>
      </c>
      <c r="H261" t="s">
        <v>1029</v>
      </c>
      <c r="I261" t="s">
        <v>225</v>
      </c>
      <c r="J261" t="s">
        <v>1030</v>
      </c>
      <c r="K261" t="s">
        <v>1031</v>
      </c>
      <c r="L261">
        <v>3</v>
      </c>
      <c r="M261">
        <v>1</v>
      </c>
      <c r="N261">
        <v>2</v>
      </c>
      <c r="O261">
        <v>0</v>
      </c>
      <c r="P261">
        <v>1</v>
      </c>
      <c r="Q261" t="s">
        <v>69</v>
      </c>
      <c r="R261">
        <v>2021</v>
      </c>
      <c r="S261" t="s">
        <v>134</v>
      </c>
      <c r="T261" t="s">
        <v>99</v>
      </c>
      <c r="Y261">
        <v>50</v>
      </c>
      <c r="Z261">
        <v>1.25</v>
      </c>
      <c r="AA261">
        <v>4000</v>
      </c>
      <c r="AB261">
        <v>1</v>
      </c>
      <c r="AC261">
        <v>1</v>
      </c>
      <c r="AD261">
        <v>50</v>
      </c>
      <c r="AE261">
        <v>4.16</v>
      </c>
      <c r="AH261">
        <v>1201.9230769999999</v>
      </c>
      <c r="AI261">
        <v>2</v>
      </c>
      <c r="AO261">
        <v>25</v>
      </c>
      <c r="AP261">
        <v>2.08</v>
      </c>
      <c r="BG261">
        <v>25</v>
      </c>
      <c r="BH261">
        <v>2.08</v>
      </c>
    </row>
    <row r="262" spans="1:61" x14ac:dyDescent="0.3">
      <c r="A262">
        <v>2</v>
      </c>
      <c r="B262" s="1">
        <v>44928</v>
      </c>
      <c r="C262" s="1">
        <v>44995</v>
      </c>
      <c r="D262">
        <v>43</v>
      </c>
      <c r="E262" t="s">
        <v>1026</v>
      </c>
      <c r="F262">
        <v>291</v>
      </c>
      <c r="G262" t="s">
        <v>1032</v>
      </c>
      <c r="H262" t="s">
        <v>1032</v>
      </c>
      <c r="I262" t="s">
        <v>66</v>
      </c>
      <c r="J262" t="s">
        <v>1033</v>
      </c>
      <c r="K262" t="s">
        <v>1034</v>
      </c>
      <c r="L262">
        <v>2</v>
      </c>
      <c r="M262">
        <v>2</v>
      </c>
      <c r="N262">
        <v>0</v>
      </c>
      <c r="O262">
        <v>0</v>
      </c>
      <c r="P262">
        <v>0</v>
      </c>
      <c r="Q262" t="s">
        <v>69</v>
      </c>
      <c r="R262" t="s">
        <v>1309</v>
      </c>
      <c r="S262" t="s">
        <v>70</v>
      </c>
      <c r="T262" t="s">
        <v>70</v>
      </c>
      <c r="U262">
        <v>720</v>
      </c>
      <c r="V262">
        <v>50</v>
      </c>
      <c r="Y262">
        <v>60</v>
      </c>
      <c r="Z262">
        <v>1.5</v>
      </c>
      <c r="AA262">
        <v>4000</v>
      </c>
      <c r="AB262">
        <v>1</v>
      </c>
      <c r="AC262">
        <v>1</v>
      </c>
      <c r="AD262">
        <v>15</v>
      </c>
      <c r="AE262">
        <v>1.5</v>
      </c>
      <c r="AF262">
        <v>45</v>
      </c>
      <c r="AG262">
        <v>12</v>
      </c>
      <c r="AH262">
        <v>1000</v>
      </c>
      <c r="AI262">
        <v>1</v>
      </c>
      <c r="BG262">
        <v>15</v>
      </c>
      <c r="BH262">
        <v>1.5</v>
      </c>
      <c r="BI262">
        <v>45</v>
      </c>
    </row>
    <row r="263" spans="1:61" x14ac:dyDescent="0.3">
      <c r="A263">
        <v>2</v>
      </c>
      <c r="B263" s="1">
        <v>44928</v>
      </c>
      <c r="C263" s="1">
        <v>44995</v>
      </c>
      <c r="D263">
        <v>43</v>
      </c>
      <c r="E263" t="s">
        <v>1026</v>
      </c>
      <c r="F263">
        <v>292</v>
      </c>
      <c r="H263" t="s">
        <v>1035</v>
      </c>
      <c r="I263" t="s">
        <v>286</v>
      </c>
      <c r="J263" t="s">
        <v>1036</v>
      </c>
      <c r="K263" t="s">
        <v>1037</v>
      </c>
      <c r="L263">
        <v>2</v>
      </c>
      <c r="M263">
        <v>2</v>
      </c>
      <c r="N263">
        <v>0</v>
      </c>
      <c r="O263">
        <v>0</v>
      </c>
      <c r="P263">
        <v>0</v>
      </c>
      <c r="Q263" t="s">
        <v>69</v>
      </c>
      <c r="R263" t="s">
        <v>1309</v>
      </c>
      <c r="S263" t="s">
        <v>143</v>
      </c>
      <c r="T263" t="s">
        <v>144</v>
      </c>
      <c r="U263">
        <v>1005</v>
      </c>
      <c r="V263">
        <v>80</v>
      </c>
      <c r="W263">
        <v>80</v>
      </c>
      <c r="Y263">
        <v>50</v>
      </c>
      <c r="Z263">
        <v>1</v>
      </c>
      <c r="AA263">
        <v>5000</v>
      </c>
      <c r="AB263">
        <v>0</v>
      </c>
    </row>
    <row r="264" spans="1:61" x14ac:dyDescent="0.3">
      <c r="A264">
        <v>2</v>
      </c>
      <c r="B264" s="1">
        <v>44928</v>
      </c>
      <c r="C264" s="1">
        <v>44995</v>
      </c>
      <c r="D264">
        <v>44</v>
      </c>
      <c r="E264" t="s">
        <v>1038</v>
      </c>
      <c r="F264">
        <v>293</v>
      </c>
      <c r="G264" t="s">
        <v>1289</v>
      </c>
      <c r="H264" t="s">
        <v>1039</v>
      </c>
      <c r="I264" t="s">
        <v>66</v>
      </c>
      <c r="J264" t="s">
        <v>1040</v>
      </c>
      <c r="K264" t="s">
        <v>1041</v>
      </c>
      <c r="L264">
        <v>3</v>
      </c>
      <c r="M264">
        <v>1</v>
      </c>
      <c r="N264">
        <v>2</v>
      </c>
      <c r="O264">
        <v>0</v>
      </c>
      <c r="P264">
        <v>1</v>
      </c>
      <c r="Q264" t="s">
        <v>69</v>
      </c>
      <c r="R264">
        <v>2019</v>
      </c>
      <c r="S264" t="s">
        <v>86</v>
      </c>
      <c r="T264" t="s">
        <v>87</v>
      </c>
      <c r="U264">
        <v>-1</v>
      </c>
      <c r="V264">
        <v>20</v>
      </c>
      <c r="W264">
        <v>45</v>
      </c>
      <c r="Y264">
        <v>50</v>
      </c>
      <c r="Z264">
        <v>2</v>
      </c>
      <c r="AA264">
        <v>2500</v>
      </c>
      <c r="AB264">
        <v>1</v>
      </c>
      <c r="AC264">
        <v>1</v>
      </c>
      <c r="AD264">
        <v>50</v>
      </c>
      <c r="AE264">
        <v>6.5</v>
      </c>
      <c r="AH264">
        <v>769.23076920000005</v>
      </c>
      <c r="AI264">
        <v>1</v>
      </c>
      <c r="AU264">
        <v>50</v>
      </c>
      <c r="AV264">
        <v>6.5</v>
      </c>
    </row>
    <row r="265" spans="1:61" x14ac:dyDescent="0.3">
      <c r="A265">
        <v>2</v>
      </c>
      <c r="B265" s="1">
        <v>44928</v>
      </c>
      <c r="C265" s="1">
        <v>44995</v>
      </c>
      <c r="D265">
        <v>44</v>
      </c>
      <c r="E265" t="s">
        <v>1038</v>
      </c>
      <c r="F265">
        <v>294</v>
      </c>
      <c r="G265" t="s">
        <v>1042</v>
      </c>
      <c r="H265" t="s">
        <v>1042</v>
      </c>
      <c r="I265" t="s">
        <v>635</v>
      </c>
      <c r="J265" t="s">
        <v>1043</v>
      </c>
      <c r="K265" t="s">
        <v>1044</v>
      </c>
      <c r="L265">
        <v>3</v>
      </c>
      <c r="M265">
        <v>3</v>
      </c>
      <c r="N265">
        <v>0</v>
      </c>
      <c r="O265">
        <v>0</v>
      </c>
      <c r="P265">
        <v>0</v>
      </c>
      <c r="Q265" t="s">
        <v>69</v>
      </c>
      <c r="R265">
        <v>2010</v>
      </c>
      <c r="S265" t="s">
        <v>143</v>
      </c>
      <c r="T265" t="s">
        <v>144</v>
      </c>
      <c r="Y265">
        <v>1000</v>
      </c>
      <c r="Z265">
        <v>10</v>
      </c>
      <c r="AA265">
        <v>10000</v>
      </c>
      <c r="AB265">
        <v>0</v>
      </c>
    </row>
    <row r="266" spans="1:61" x14ac:dyDescent="0.3">
      <c r="A266">
        <v>2</v>
      </c>
      <c r="B266" s="1">
        <v>44928</v>
      </c>
      <c r="C266" s="1">
        <v>44995</v>
      </c>
      <c r="D266">
        <v>44</v>
      </c>
      <c r="E266" t="s">
        <v>1038</v>
      </c>
      <c r="F266">
        <v>295</v>
      </c>
      <c r="G266" t="s">
        <v>1290</v>
      </c>
      <c r="H266" t="s">
        <v>1045</v>
      </c>
      <c r="I266" t="s">
        <v>66</v>
      </c>
      <c r="J266" t="s">
        <v>1046</v>
      </c>
      <c r="K266" t="s">
        <v>1047</v>
      </c>
      <c r="L266">
        <v>2</v>
      </c>
      <c r="M266">
        <v>2</v>
      </c>
      <c r="N266">
        <v>0</v>
      </c>
      <c r="O266">
        <v>0</v>
      </c>
      <c r="P266">
        <v>0</v>
      </c>
      <c r="Q266" t="s">
        <v>69</v>
      </c>
      <c r="R266" t="s">
        <v>1309</v>
      </c>
      <c r="S266" t="s">
        <v>134</v>
      </c>
      <c r="T266" t="s">
        <v>99</v>
      </c>
      <c r="Y266">
        <v>75</v>
      </c>
      <c r="Z266">
        <v>5</v>
      </c>
      <c r="AA266">
        <v>1500</v>
      </c>
      <c r="AB266">
        <v>1</v>
      </c>
      <c r="AC266">
        <v>1</v>
      </c>
      <c r="AD266">
        <v>75</v>
      </c>
      <c r="AE266">
        <v>15</v>
      </c>
      <c r="AH266">
        <v>500</v>
      </c>
      <c r="AI266">
        <v>1</v>
      </c>
      <c r="AO266">
        <v>75</v>
      </c>
      <c r="AP266">
        <v>15</v>
      </c>
    </row>
    <row r="267" spans="1:61" x14ac:dyDescent="0.3">
      <c r="A267">
        <v>2</v>
      </c>
      <c r="B267" s="1">
        <v>44928</v>
      </c>
      <c r="C267" s="1">
        <v>44995</v>
      </c>
      <c r="D267">
        <v>44</v>
      </c>
      <c r="E267" t="s">
        <v>1038</v>
      </c>
      <c r="F267">
        <v>296</v>
      </c>
      <c r="G267" t="s">
        <v>1291</v>
      </c>
      <c r="H267" t="s">
        <v>1048</v>
      </c>
      <c r="I267" t="s">
        <v>268</v>
      </c>
      <c r="J267" t="s">
        <v>1049</v>
      </c>
      <c r="K267" t="s">
        <v>1050</v>
      </c>
      <c r="L267">
        <v>1</v>
      </c>
      <c r="M267">
        <v>0</v>
      </c>
      <c r="N267">
        <v>1</v>
      </c>
      <c r="O267">
        <v>0</v>
      </c>
      <c r="P267">
        <v>0</v>
      </c>
      <c r="Q267" t="s">
        <v>69</v>
      </c>
      <c r="R267" t="s">
        <v>1309</v>
      </c>
      <c r="S267" t="s">
        <v>134</v>
      </c>
      <c r="T267" t="s">
        <v>99</v>
      </c>
      <c r="U267">
        <v>0</v>
      </c>
      <c r="V267">
        <v>1</v>
      </c>
      <c r="W267">
        <v>60</v>
      </c>
      <c r="Y267">
        <v>50</v>
      </c>
      <c r="Z267">
        <v>5</v>
      </c>
      <c r="AA267">
        <v>1000</v>
      </c>
      <c r="AB267">
        <v>0</v>
      </c>
    </row>
    <row r="268" spans="1:61" x14ac:dyDescent="0.3">
      <c r="A268">
        <v>2</v>
      </c>
      <c r="B268" s="1">
        <v>44928</v>
      </c>
      <c r="C268" s="1">
        <v>44995</v>
      </c>
      <c r="D268">
        <v>45</v>
      </c>
      <c r="E268" t="s">
        <v>1051</v>
      </c>
      <c r="F268">
        <v>297</v>
      </c>
      <c r="G268" t="s">
        <v>1292</v>
      </c>
      <c r="H268" t="s">
        <v>1052</v>
      </c>
      <c r="I268" t="s">
        <v>66</v>
      </c>
      <c r="J268" t="s">
        <v>1053</v>
      </c>
      <c r="K268" t="s">
        <v>1054</v>
      </c>
      <c r="L268">
        <v>2</v>
      </c>
      <c r="M268">
        <v>1</v>
      </c>
      <c r="N268">
        <v>1</v>
      </c>
      <c r="O268">
        <v>0</v>
      </c>
      <c r="P268">
        <v>0</v>
      </c>
      <c r="Q268" t="s">
        <v>69</v>
      </c>
      <c r="R268" t="s">
        <v>1309</v>
      </c>
      <c r="S268" t="s">
        <v>1055</v>
      </c>
      <c r="T268" t="s">
        <v>1056</v>
      </c>
      <c r="U268">
        <v>13</v>
      </c>
      <c r="Y268">
        <v>100</v>
      </c>
      <c r="Z268">
        <v>2</v>
      </c>
      <c r="AA268">
        <v>5000</v>
      </c>
      <c r="AB268">
        <v>1</v>
      </c>
      <c r="AC268">
        <v>1</v>
      </c>
      <c r="AD268">
        <v>50</v>
      </c>
      <c r="AE268">
        <v>10</v>
      </c>
      <c r="AF268">
        <v>50</v>
      </c>
      <c r="AG268">
        <v>12</v>
      </c>
      <c r="AH268">
        <v>500</v>
      </c>
      <c r="AI268">
        <v>1</v>
      </c>
      <c r="AU268">
        <v>50</v>
      </c>
      <c r="AV268">
        <v>10</v>
      </c>
      <c r="AW268">
        <v>50</v>
      </c>
    </row>
    <row r="269" spans="1:61" x14ac:dyDescent="0.3">
      <c r="A269">
        <v>2</v>
      </c>
      <c r="B269" s="1">
        <v>44928</v>
      </c>
      <c r="C269" s="1">
        <v>44995</v>
      </c>
      <c r="D269">
        <v>45</v>
      </c>
      <c r="E269" t="s">
        <v>1051</v>
      </c>
      <c r="F269">
        <v>298</v>
      </c>
      <c r="G269" t="s">
        <v>1057</v>
      </c>
      <c r="H269" t="s">
        <v>1057</v>
      </c>
      <c r="I269" t="s">
        <v>173</v>
      </c>
      <c r="J269" t="s">
        <v>1058</v>
      </c>
      <c r="K269" t="s">
        <v>1059</v>
      </c>
      <c r="L269">
        <v>3</v>
      </c>
      <c r="M269">
        <v>3</v>
      </c>
      <c r="N269">
        <v>0</v>
      </c>
      <c r="O269">
        <v>0</v>
      </c>
      <c r="P269">
        <v>0</v>
      </c>
      <c r="Q269" t="s">
        <v>69</v>
      </c>
      <c r="R269" t="s">
        <v>1309</v>
      </c>
      <c r="S269" t="s">
        <v>1060</v>
      </c>
      <c r="T269" t="s">
        <v>1061</v>
      </c>
      <c r="V269">
        <v>0</v>
      </c>
      <c r="Y269">
        <v>50</v>
      </c>
      <c r="Z269">
        <v>1</v>
      </c>
      <c r="AA269">
        <v>5000</v>
      </c>
      <c r="AB269">
        <v>1</v>
      </c>
      <c r="AC269">
        <v>1</v>
      </c>
      <c r="AD269">
        <v>20</v>
      </c>
      <c r="AE269">
        <v>1</v>
      </c>
      <c r="AF269">
        <v>30</v>
      </c>
      <c r="AG269">
        <v>10</v>
      </c>
      <c r="AH269">
        <v>2000</v>
      </c>
      <c r="AI269">
        <v>1</v>
      </c>
      <c r="AK269">
        <v>1</v>
      </c>
      <c r="AO269">
        <v>20</v>
      </c>
      <c r="AP269">
        <v>1</v>
      </c>
      <c r="AQ269">
        <v>30</v>
      </c>
    </row>
    <row r="270" spans="1:61" x14ac:dyDescent="0.3">
      <c r="A270">
        <v>2</v>
      </c>
      <c r="B270" s="1">
        <v>44928</v>
      </c>
      <c r="C270" s="1">
        <v>44995</v>
      </c>
      <c r="D270">
        <v>45</v>
      </c>
      <c r="E270" t="s">
        <v>1051</v>
      </c>
      <c r="F270">
        <v>299</v>
      </c>
      <c r="G270" t="s">
        <v>1293</v>
      </c>
      <c r="H270" t="s">
        <v>1062</v>
      </c>
      <c r="I270" t="s">
        <v>79</v>
      </c>
      <c r="J270" t="s">
        <v>1063</v>
      </c>
      <c r="K270" t="s">
        <v>1064</v>
      </c>
      <c r="L270">
        <v>2</v>
      </c>
      <c r="M270">
        <v>2</v>
      </c>
      <c r="N270">
        <v>0</v>
      </c>
      <c r="O270">
        <v>0</v>
      </c>
      <c r="P270">
        <v>0</v>
      </c>
      <c r="Q270" t="s">
        <v>69</v>
      </c>
      <c r="R270">
        <v>2019</v>
      </c>
      <c r="S270" t="s">
        <v>134</v>
      </c>
      <c r="T270" t="s">
        <v>99</v>
      </c>
      <c r="V270">
        <v>7.5</v>
      </c>
      <c r="Y270">
        <v>50</v>
      </c>
      <c r="Z270">
        <v>5</v>
      </c>
      <c r="AA270">
        <v>1000</v>
      </c>
      <c r="AB270">
        <v>1</v>
      </c>
      <c r="AC270">
        <v>1</v>
      </c>
      <c r="AD270">
        <v>50</v>
      </c>
      <c r="AE270">
        <v>10</v>
      </c>
      <c r="AH270">
        <v>500</v>
      </c>
      <c r="AI270">
        <v>1</v>
      </c>
      <c r="AJ270" t="s">
        <v>804</v>
      </c>
      <c r="BA270">
        <v>50</v>
      </c>
      <c r="BB270">
        <v>10</v>
      </c>
    </row>
    <row r="271" spans="1:61" x14ac:dyDescent="0.3">
      <c r="A271">
        <v>2</v>
      </c>
      <c r="B271" s="1">
        <v>44928</v>
      </c>
      <c r="C271" s="1">
        <v>44995</v>
      </c>
      <c r="D271">
        <v>46</v>
      </c>
      <c r="E271" t="s">
        <v>1065</v>
      </c>
      <c r="F271">
        <v>300</v>
      </c>
      <c r="G271" t="s">
        <v>1294</v>
      </c>
      <c r="H271" t="s">
        <v>1066</v>
      </c>
      <c r="I271" t="s">
        <v>448</v>
      </c>
      <c r="J271" t="s">
        <v>1067</v>
      </c>
      <c r="K271" t="s">
        <v>1068</v>
      </c>
      <c r="L271">
        <v>2</v>
      </c>
      <c r="M271">
        <v>2</v>
      </c>
      <c r="N271">
        <v>0</v>
      </c>
      <c r="O271">
        <v>0</v>
      </c>
      <c r="P271">
        <v>0</v>
      </c>
      <c r="Q271" t="s">
        <v>69</v>
      </c>
      <c r="R271" t="s">
        <v>1309</v>
      </c>
      <c r="S271" t="s">
        <v>134</v>
      </c>
      <c r="T271" t="s">
        <v>99</v>
      </c>
      <c r="U271">
        <v>31</v>
      </c>
      <c r="Y271">
        <v>60</v>
      </c>
      <c r="Z271">
        <v>2</v>
      </c>
      <c r="AA271">
        <v>3000</v>
      </c>
      <c r="AB271">
        <v>0</v>
      </c>
    </row>
    <row r="272" spans="1:61" x14ac:dyDescent="0.3">
      <c r="A272">
        <v>2</v>
      </c>
      <c r="B272" s="1">
        <v>44928</v>
      </c>
      <c r="C272" s="1">
        <v>44995</v>
      </c>
      <c r="D272">
        <v>46</v>
      </c>
      <c r="E272" t="s">
        <v>1065</v>
      </c>
      <c r="F272">
        <v>301</v>
      </c>
      <c r="G272" t="s">
        <v>1295</v>
      </c>
      <c r="H272" t="s">
        <v>1069</v>
      </c>
      <c r="I272" t="s">
        <v>286</v>
      </c>
      <c r="J272" t="s">
        <v>1070</v>
      </c>
      <c r="K272" t="s">
        <v>1071</v>
      </c>
      <c r="L272">
        <v>1</v>
      </c>
      <c r="M272">
        <v>1</v>
      </c>
      <c r="N272">
        <v>0</v>
      </c>
      <c r="O272">
        <v>0</v>
      </c>
      <c r="P272">
        <v>0</v>
      </c>
      <c r="Q272" t="s">
        <v>69</v>
      </c>
      <c r="R272" t="s">
        <v>1309</v>
      </c>
      <c r="S272" t="s">
        <v>134</v>
      </c>
      <c r="T272" t="s">
        <v>99</v>
      </c>
      <c r="Y272">
        <v>75</v>
      </c>
      <c r="Z272">
        <v>2</v>
      </c>
      <c r="AA272">
        <v>3750</v>
      </c>
      <c r="AB272">
        <v>1</v>
      </c>
      <c r="AC272">
        <v>1</v>
      </c>
      <c r="AD272">
        <v>75</v>
      </c>
      <c r="AE272">
        <v>3.75</v>
      </c>
      <c r="AH272">
        <v>2000</v>
      </c>
      <c r="AI272">
        <v>3</v>
      </c>
      <c r="AO272">
        <v>25</v>
      </c>
      <c r="AP272">
        <v>1.25</v>
      </c>
      <c r="AU272">
        <v>25</v>
      </c>
      <c r="AV272">
        <v>1.25</v>
      </c>
      <c r="AX272">
        <v>25</v>
      </c>
      <c r="AY272">
        <v>1.25</v>
      </c>
    </row>
    <row r="273" spans="1:61" x14ac:dyDescent="0.3">
      <c r="A273">
        <v>2</v>
      </c>
      <c r="B273" s="1">
        <v>44928</v>
      </c>
      <c r="C273" s="1">
        <v>44995</v>
      </c>
      <c r="D273">
        <v>46</v>
      </c>
      <c r="E273" t="s">
        <v>1065</v>
      </c>
      <c r="F273">
        <v>302</v>
      </c>
      <c r="G273" t="s">
        <v>1296</v>
      </c>
      <c r="H273" t="s">
        <v>1072</v>
      </c>
      <c r="I273" t="s">
        <v>286</v>
      </c>
      <c r="J273" t="s">
        <v>1073</v>
      </c>
      <c r="K273" t="s">
        <v>1074</v>
      </c>
      <c r="L273">
        <v>4</v>
      </c>
      <c r="M273">
        <v>4</v>
      </c>
      <c r="N273">
        <v>0</v>
      </c>
      <c r="O273">
        <v>0</v>
      </c>
      <c r="P273">
        <v>0</v>
      </c>
      <c r="Q273" t="s">
        <v>69</v>
      </c>
      <c r="R273">
        <v>2017</v>
      </c>
      <c r="S273" t="s">
        <v>436</v>
      </c>
      <c r="T273" t="s">
        <v>436</v>
      </c>
      <c r="V273">
        <v>15</v>
      </c>
      <c r="Y273">
        <v>50</v>
      </c>
      <c r="Z273">
        <v>1.5</v>
      </c>
      <c r="AA273">
        <v>3333.333333</v>
      </c>
      <c r="AB273">
        <v>0</v>
      </c>
    </row>
    <row r="274" spans="1:61" x14ac:dyDescent="0.3">
      <c r="A274">
        <v>2</v>
      </c>
      <c r="B274" s="1">
        <v>44928</v>
      </c>
      <c r="C274" s="1">
        <v>44995</v>
      </c>
      <c r="D274">
        <v>46</v>
      </c>
      <c r="E274" t="s">
        <v>1065</v>
      </c>
      <c r="F274">
        <v>303</v>
      </c>
      <c r="G274" t="s">
        <v>1297</v>
      </c>
      <c r="H274" t="s">
        <v>1075</v>
      </c>
      <c r="I274" t="s">
        <v>66</v>
      </c>
      <c r="J274" t="s">
        <v>1076</v>
      </c>
      <c r="K274" t="s">
        <v>1077</v>
      </c>
      <c r="L274">
        <v>2</v>
      </c>
      <c r="M274">
        <v>2</v>
      </c>
      <c r="N274">
        <v>0</v>
      </c>
      <c r="O274">
        <v>0</v>
      </c>
      <c r="P274">
        <v>0</v>
      </c>
      <c r="Q274" t="s">
        <v>75</v>
      </c>
      <c r="R274">
        <v>2018</v>
      </c>
      <c r="S274" t="s">
        <v>134</v>
      </c>
      <c r="T274" t="s">
        <v>99</v>
      </c>
      <c r="U274">
        <v>-1</v>
      </c>
      <c r="W274">
        <v>56</v>
      </c>
      <c r="Y274">
        <v>75</v>
      </c>
      <c r="Z274">
        <v>2.1</v>
      </c>
      <c r="AA274">
        <v>3571.4285709999999</v>
      </c>
      <c r="AB274">
        <v>0</v>
      </c>
    </row>
    <row r="275" spans="1:61" x14ac:dyDescent="0.3">
      <c r="A275">
        <v>2</v>
      </c>
      <c r="B275" s="1">
        <v>44928</v>
      </c>
      <c r="C275" s="1">
        <v>44995</v>
      </c>
      <c r="D275">
        <v>47</v>
      </c>
      <c r="E275" t="s">
        <v>1078</v>
      </c>
      <c r="F275">
        <v>304</v>
      </c>
      <c r="G275" t="s">
        <v>1079</v>
      </c>
      <c r="H275" t="s">
        <v>1079</v>
      </c>
      <c r="I275" t="s">
        <v>286</v>
      </c>
      <c r="J275" t="s">
        <v>1080</v>
      </c>
      <c r="K275" t="s">
        <v>1081</v>
      </c>
      <c r="L275">
        <v>5</v>
      </c>
      <c r="M275">
        <v>5</v>
      </c>
      <c r="N275">
        <v>0</v>
      </c>
      <c r="O275">
        <v>0</v>
      </c>
      <c r="P275">
        <v>0</v>
      </c>
      <c r="Q275" t="s">
        <v>75</v>
      </c>
      <c r="R275">
        <v>2016</v>
      </c>
      <c r="S275" t="s">
        <v>1082</v>
      </c>
      <c r="T275" t="s">
        <v>1083</v>
      </c>
      <c r="V275">
        <v>42</v>
      </c>
      <c r="Y275">
        <v>100</v>
      </c>
      <c r="Z275">
        <v>1.66</v>
      </c>
      <c r="AA275">
        <v>6024.0963860000002</v>
      </c>
      <c r="AB275">
        <v>0</v>
      </c>
    </row>
    <row r="276" spans="1:61" x14ac:dyDescent="0.3">
      <c r="A276">
        <v>2</v>
      </c>
      <c r="B276" s="1">
        <v>44928</v>
      </c>
      <c r="C276" s="1">
        <v>44995</v>
      </c>
      <c r="D276">
        <v>47</v>
      </c>
      <c r="E276" t="s">
        <v>1078</v>
      </c>
      <c r="F276">
        <v>305</v>
      </c>
      <c r="G276" t="s">
        <v>1298</v>
      </c>
      <c r="H276" t="s">
        <v>1084</v>
      </c>
      <c r="I276" t="s">
        <v>286</v>
      </c>
      <c r="J276" t="s">
        <v>1085</v>
      </c>
      <c r="K276" t="s">
        <v>1086</v>
      </c>
      <c r="L276">
        <v>2</v>
      </c>
      <c r="M276">
        <v>0</v>
      </c>
      <c r="N276">
        <v>2</v>
      </c>
      <c r="O276">
        <v>0</v>
      </c>
      <c r="P276">
        <v>0</v>
      </c>
      <c r="Q276" t="s">
        <v>69</v>
      </c>
      <c r="R276" t="s">
        <v>1309</v>
      </c>
      <c r="S276" t="s">
        <v>86</v>
      </c>
      <c r="T276" t="s">
        <v>87</v>
      </c>
      <c r="Y276">
        <v>50</v>
      </c>
      <c r="Z276">
        <v>3</v>
      </c>
      <c r="AA276">
        <v>1666.666667</v>
      </c>
      <c r="AB276">
        <v>1</v>
      </c>
      <c r="AC276">
        <v>1</v>
      </c>
      <c r="AD276">
        <v>50</v>
      </c>
      <c r="AE276">
        <v>5</v>
      </c>
      <c r="AH276">
        <v>1000</v>
      </c>
      <c r="AI276">
        <v>1</v>
      </c>
      <c r="AO276">
        <v>50</v>
      </c>
      <c r="AP276">
        <v>5</v>
      </c>
    </row>
    <row r="277" spans="1:61" x14ac:dyDescent="0.3">
      <c r="A277">
        <v>2</v>
      </c>
      <c r="B277" s="1">
        <v>44928</v>
      </c>
      <c r="C277" s="1">
        <v>44995</v>
      </c>
      <c r="D277">
        <v>47</v>
      </c>
      <c r="E277" t="s">
        <v>1078</v>
      </c>
      <c r="F277">
        <v>306</v>
      </c>
      <c r="G277" t="s">
        <v>1299</v>
      </c>
      <c r="H277" t="s">
        <v>1087</v>
      </c>
      <c r="I277" t="s">
        <v>635</v>
      </c>
      <c r="J277" t="s">
        <v>1088</v>
      </c>
      <c r="K277" t="s">
        <v>1089</v>
      </c>
      <c r="L277">
        <v>2</v>
      </c>
      <c r="M277">
        <v>1</v>
      </c>
      <c r="N277">
        <v>1</v>
      </c>
      <c r="O277">
        <v>0</v>
      </c>
      <c r="P277">
        <v>0</v>
      </c>
      <c r="Q277" t="s">
        <v>69</v>
      </c>
      <c r="R277" t="s">
        <v>1309</v>
      </c>
      <c r="S277" t="s">
        <v>1090</v>
      </c>
      <c r="T277" t="s">
        <v>122</v>
      </c>
      <c r="U277">
        <v>140</v>
      </c>
      <c r="Y277">
        <v>50</v>
      </c>
      <c r="Z277">
        <v>8</v>
      </c>
      <c r="AA277">
        <v>625</v>
      </c>
      <c r="AB277">
        <v>0</v>
      </c>
    </row>
    <row r="278" spans="1:61" x14ac:dyDescent="0.3">
      <c r="A278">
        <v>2</v>
      </c>
      <c r="B278" s="1">
        <v>44928</v>
      </c>
      <c r="C278" s="1">
        <v>44995</v>
      </c>
      <c r="D278">
        <v>48</v>
      </c>
      <c r="E278" t="s">
        <v>1091</v>
      </c>
      <c r="F278">
        <v>307</v>
      </c>
      <c r="G278" t="s">
        <v>1092</v>
      </c>
      <c r="H278" t="s">
        <v>1092</v>
      </c>
      <c r="I278" t="s">
        <v>79</v>
      </c>
      <c r="J278" t="s">
        <v>1093</v>
      </c>
      <c r="K278" t="s">
        <v>1094</v>
      </c>
      <c r="L278">
        <v>2</v>
      </c>
      <c r="M278">
        <v>1</v>
      </c>
      <c r="N278">
        <v>1</v>
      </c>
      <c r="O278">
        <v>0</v>
      </c>
      <c r="P278">
        <v>1</v>
      </c>
      <c r="Q278" t="s">
        <v>69</v>
      </c>
      <c r="R278">
        <v>2014</v>
      </c>
      <c r="S278" t="s">
        <v>86</v>
      </c>
      <c r="T278" t="s">
        <v>87</v>
      </c>
      <c r="U278">
        <v>5100</v>
      </c>
      <c r="Y278">
        <v>150</v>
      </c>
      <c r="Z278">
        <v>0.5</v>
      </c>
      <c r="AA278">
        <v>30000</v>
      </c>
      <c r="AB278">
        <v>1</v>
      </c>
      <c r="AC278">
        <v>1</v>
      </c>
      <c r="AD278">
        <v>100</v>
      </c>
      <c r="AE278">
        <v>1</v>
      </c>
      <c r="AF278">
        <v>50</v>
      </c>
      <c r="AG278">
        <v>12</v>
      </c>
      <c r="AH278">
        <v>10000</v>
      </c>
      <c r="AI278">
        <v>3</v>
      </c>
      <c r="AO278">
        <v>33.33</v>
      </c>
      <c r="AP278">
        <v>0.33300000000000002</v>
      </c>
      <c r="AQ278">
        <v>16.66</v>
      </c>
      <c r="AU278">
        <v>33.33</v>
      </c>
      <c r="AV278">
        <v>0.33300000000000002</v>
      </c>
      <c r="AW278">
        <v>16.66</v>
      </c>
      <c r="AX278">
        <v>33.33</v>
      </c>
      <c r="AY278">
        <v>0.33300000000000002</v>
      </c>
      <c r="AZ278">
        <v>16.66</v>
      </c>
    </row>
    <row r="279" spans="1:61" x14ac:dyDescent="0.3">
      <c r="A279">
        <v>2</v>
      </c>
      <c r="B279" s="1">
        <v>44928</v>
      </c>
      <c r="C279" s="1">
        <v>44995</v>
      </c>
      <c r="D279">
        <v>48</v>
      </c>
      <c r="E279" t="s">
        <v>1091</v>
      </c>
      <c r="F279">
        <v>308</v>
      </c>
      <c r="G279" t="s">
        <v>1300</v>
      </c>
      <c r="H279" t="s">
        <v>1095</v>
      </c>
      <c r="I279" t="s">
        <v>225</v>
      </c>
      <c r="J279" t="s">
        <v>1096</v>
      </c>
      <c r="L279">
        <v>1</v>
      </c>
      <c r="M279">
        <v>1</v>
      </c>
      <c r="N279">
        <v>0</v>
      </c>
      <c r="O279">
        <v>0</v>
      </c>
      <c r="P279">
        <v>0</v>
      </c>
      <c r="Q279" t="s">
        <v>69</v>
      </c>
      <c r="R279" t="s">
        <v>1309</v>
      </c>
      <c r="S279" t="s">
        <v>1097</v>
      </c>
      <c r="T279" t="s">
        <v>1098</v>
      </c>
      <c r="Y279">
        <v>25</v>
      </c>
      <c r="Z279">
        <v>15</v>
      </c>
      <c r="AA279">
        <v>166.66666670000001</v>
      </c>
      <c r="AB279">
        <v>0</v>
      </c>
    </row>
    <row r="280" spans="1:61" x14ac:dyDescent="0.3">
      <c r="A280">
        <v>2</v>
      </c>
      <c r="B280" s="1">
        <v>44928</v>
      </c>
      <c r="C280" s="1">
        <v>44995</v>
      </c>
      <c r="D280">
        <v>48</v>
      </c>
      <c r="E280" t="s">
        <v>1091</v>
      </c>
      <c r="F280">
        <v>309</v>
      </c>
      <c r="G280" t="s">
        <v>1301</v>
      </c>
      <c r="H280" t="s">
        <v>1099</v>
      </c>
      <c r="I280" t="s">
        <v>635</v>
      </c>
      <c r="J280" t="s">
        <v>1100</v>
      </c>
      <c r="K280" t="s">
        <v>1101</v>
      </c>
      <c r="L280">
        <v>2</v>
      </c>
      <c r="M280">
        <v>1</v>
      </c>
      <c r="N280">
        <v>1</v>
      </c>
      <c r="O280">
        <v>0</v>
      </c>
      <c r="P280">
        <v>1</v>
      </c>
      <c r="Q280" t="s">
        <v>69</v>
      </c>
      <c r="R280" t="s">
        <v>1309</v>
      </c>
      <c r="S280" t="s">
        <v>76</v>
      </c>
      <c r="T280" t="s">
        <v>77</v>
      </c>
      <c r="V280">
        <v>2</v>
      </c>
      <c r="Y280">
        <v>35</v>
      </c>
      <c r="Z280">
        <v>5</v>
      </c>
      <c r="AA280">
        <v>700</v>
      </c>
      <c r="AB280">
        <v>0</v>
      </c>
    </row>
    <row r="281" spans="1:61" x14ac:dyDescent="0.3">
      <c r="A281">
        <v>2</v>
      </c>
      <c r="B281" s="1">
        <v>44928</v>
      </c>
      <c r="C281" s="1">
        <v>44995</v>
      </c>
      <c r="D281">
        <v>48</v>
      </c>
      <c r="E281" t="s">
        <v>1091</v>
      </c>
      <c r="F281">
        <v>310</v>
      </c>
      <c r="G281" t="s">
        <v>1302</v>
      </c>
      <c r="H281" t="s">
        <v>1102</v>
      </c>
      <c r="I281" t="s">
        <v>66</v>
      </c>
      <c r="J281" t="s">
        <v>275</v>
      </c>
      <c r="K281" t="s">
        <v>1103</v>
      </c>
      <c r="L281">
        <v>2</v>
      </c>
      <c r="M281">
        <v>2</v>
      </c>
      <c r="N281">
        <v>0</v>
      </c>
      <c r="O281">
        <v>0</v>
      </c>
      <c r="P281">
        <v>0</v>
      </c>
      <c r="Q281" t="s">
        <v>69</v>
      </c>
      <c r="R281">
        <v>2020</v>
      </c>
      <c r="S281" t="s">
        <v>86</v>
      </c>
      <c r="T281" t="s">
        <v>87</v>
      </c>
      <c r="U281">
        <v>-1</v>
      </c>
      <c r="V281">
        <v>145</v>
      </c>
      <c r="W281">
        <v>65</v>
      </c>
      <c r="Y281">
        <v>100</v>
      </c>
      <c r="Z281">
        <v>1</v>
      </c>
      <c r="AA281">
        <v>10000</v>
      </c>
      <c r="AB281">
        <v>1</v>
      </c>
      <c r="AC281">
        <v>1</v>
      </c>
      <c r="AD281">
        <v>50</v>
      </c>
      <c r="AE281">
        <v>1</v>
      </c>
      <c r="AF281">
        <v>50</v>
      </c>
      <c r="AG281">
        <v>10</v>
      </c>
      <c r="AH281">
        <v>5000</v>
      </c>
      <c r="AI281">
        <v>1</v>
      </c>
      <c r="BA281">
        <v>50</v>
      </c>
      <c r="BB281">
        <v>1</v>
      </c>
      <c r="BC281">
        <v>50</v>
      </c>
    </row>
    <row r="282" spans="1:61" x14ac:dyDescent="0.3">
      <c r="A282">
        <v>2</v>
      </c>
      <c r="B282" s="1">
        <v>44928</v>
      </c>
      <c r="C282" s="1">
        <v>44995</v>
      </c>
      <c r="D282">
        <v>49</v>
      </c>
      <c r="E282" t="s">
        <v>1104</v>
      </c>
      <c r="F282">
        <v>311</v>
      </c>
      <c r="G282" t="s">
        <v>1303</v>
      </c>
      <c r="H282" t="s">
        <v>1105</v>
      </c>
      <c r="I282" t="s">
        <v>79</v>
      </c>
      <c r="J282" t="s">
        <v>1106</v>
      </c>
      <c r="K282" t="s">
        <v>1107</v>
      </c>
      <c r="L282">
        <v>1</v>
      </c>
      <c r="M282">
        <v>0</v>
      </c>
      <c r="N282">
        <v>1</v>
      </c>
      <c r="O282">
        <v>0</v>
      </c>
      <c r="P282">
        <v>0</v>
      </c>
      <c r="Q282" t="s">
        <v>75</v>
      </c>
      <c r="R282">
        <v>2021</v>
      </c>
      <c r="S282" t="s">
        <v>1108</v>
      </c>
      <c r="T282" t="s">
        <v>99</v>
      </c>
      <c r="V282">
        <v>4.2</v>
      </c>
      <c r="Y282">
        <v>20</v>
      </c>
      <c r="Z282">
        <v>10</v>
      </c>
      <c r="AA282">
        <v>200</v>
      </c>
      <c r="AB282">
        <v>1</v>
      </c>
      <c r="AC282">
        <v>1</v>
      </c>
      <c r="AD282">
        <v>20</v>
      </c>
      <c r="AE282">
        <v>20</v>
      </c>
      <c r="AH282">
        <v>100</v>
      </c>
      <c r="AI282">
        <v>4</v>
      </c>
      <c r="AO282">
        <v>5</v>
      </c>
      <c r="AP282">
        <v>5</v>
      </c>
      <c r="AR282">
        <v>5</v>
      </c>
      <c r="AS282">
        <v>5</v>
      </c>
      <c r="AU282">
        <v>5</v>
      </c>
      <c r="AV282">
        <v>5</v>
      </c>
      <c r="BG282">
        <v>5</v>
      </c>
      <c r="BH282">
        <v>5</v>
      </c>
    </row>
    <row r="283" spans="1:61" x14ac:dyDescent="0.3">
      <c r="A283">
        <v>2</v>
      </c>
      <c r="B283" s="1">
        <v>44928</v>
      </c>
      <c r="C283" s="1">
        <v>44995</v>
      </c>
      <c r="D283">
        <v>49</v>
      </c>
      <c r="E283" t="s">
        <v>1104</v>
      </c>
      <c r="F283">
        <v>312</v>
      </c>
      <c r="G283" t="s">
        <v>1109</v>
      </c>
      <c r="H283" t="s">
        <v>1109</v>
      </c>
      <c r="I283" t="s">
        <v>173</v>
      </c>
      <c r="J283" t="s">
        <v>1110</v>
      </c>
      <c r="K283" t="s">
        <v>1111</v>
      </c>
      <c r="L283">
        <v>1</v>
      </c>
      <c r="M283">
        <v>0</v>
      </c>
      <c r="N283">
        <v>1</v>
      </c>
      <c r="O283">
        <v>0</v>
      </c>
      <c r="P283">
        <v>0</v>
      </c>
      <c r="Q283" t="s">
        <v>75</v>
      </c>
      <c r="R283">
        <v>2022</v>
      </c>
      <c r="S283" t="s">
        <v>472</v>
      </c>
      <c r="T283" t="s">
        <v>191</v>
      </c>
      <c r="Y283">
        <v>100</v>
      </c>
      <c r="Z283">
        <v>10</v>
      </c>
      <c r="AA283">
        <v>1000</v>
      </c>
      <c r="AB283">
        <v>1</v>
      </c>
      <c r="AC283">
        <v>1</v>
      </c>
      <c r="AD283">
        <v>100</v>
      </c>
      <c r="AE283">
        <v>10</v>
      </c>
      <c r="AH283">
        <v>1000</v>
      </c>
      <c r="AI283">
        <v>5</v>
      </c>
      <c r="AK283">
        <v>1</v>
      </c>
      <c r="AO283">
        <v>20</v>
      </c>
      <c r="AP283">
        <v>2</v>
      </c>
      <c r="AR283">
        <v>20</v>
      </c>
      <c r="AS283">
        <v>2</v>
      </c>
      <c r="AX283">
        <v>20</v>
      </c>
      <c r="AY283">
        <v>2</v>
      </c>
      <c r="BA283">
        <v>20</v>
      </c>
      <c r="BB283">
        <v>2</v>
      </c>
      <c r="BG283">
        <v>20</v>
      </c>
      <c r="BH283">
        <v>2</v>
      </c>
    </row>
    <row r="284" spans="1:61" x14ac:dyDescent="0.3">
      <c r="A284">
        <v>2</v>
      </c>
      <c r="B284" s="1">
        <v>44928</v>
      </c>
      <c r="C284" s="1">
        <v>44995</v>
      </c>
      <c r="D284">
        <v>49</v>
      </c>
      <c r="E284" t="s">
        <v>1104</v>
      </c>
      <c r="F284">
        <v>313</v>
      </c>
      <c r="G284" t="s">
        <v>1304</v>
      </c>
      <c r="H284" t="s">
        <v>1112</v>
      </c>
      <c r="I284" t="s">
        <v>66</v>
      </c>
      <c r="J284" t="s">
        <v>1113</v>
      </c>
      <c r="K284" t="s">
        <v>1114</v>
      </c>
      <c r="L284">
        <v>3</v>
      </c>
      <c r="M284">
        <v>3</v>
      </c>
      <c r="N284">
        <v>0</v>
      </c>
      <c r="O284">
        <v>0</v>
      </c>
      <c r="P284">
        <v>0</v>
      </c>
      <c r="Q284" t="s">
        <v>69</v>
      </c>
      <c r="R284">
        <v>2021</v>
      </c>
      <c r="S284" t="s">
        <v>134</v>
      </c>
      <c r="T284" t="s">
        <v>99</v>
      </c>
      <c r="U284">
        <v>-1</v>
      </c>
      <c r="Y284">
        <v>50</v>
      </c>
      <c r="Z284">
        <v>1</v>
      </c>
      <c r="AA284">
        <v>5000</v>
      </c>
      <c r="AB284">
        <v>0</v>
      </c>
    </row>
    <row r="285" spans="1:61" x14ac:dyDescent="0.3">
      <c r="A285">
        <v>2</v>
      </c>
      <c r="B285" s="1">
        <v>44928</v>
      </c>
      <c r="C285" s="1">
        <v>44995</v>
      </c>
      <c r="D285">
        <v>49</v>
      </c>
      <c r="E285" t="s">
        <v>1104</v>
      </c>
      <c r="F285">
        <v>314</v>
      </c>
      <c r="G285" t="s">
        <v>1305</v>
      </c>
      <c r="H285" t="s">
        <v>1115</v>
      </c>
      <c r="I285" t="s">
        <v>79</v>
      </c>
      <c r="J285" t="s">
        <v>1116</v>
      </c>
      <c r="K285" t="s">
        <v>1117</v>
      </c>
      <c r="L285">
        <v>3</v>
      </c>
      <c r="M285">
        <v>2</v>
      </c>
      <c r="N285">
        <v>1</v>
      </c>
      <c r="O285">
        <v>0</v>
      </c>
      <c r="P285">
        <v>0</v>
      </c>
      <c r="Q285" t="s">
        <v>69</v>
      </c>
      <c r="R285">
        <v>2018</v>
      </c>
      <c r="S285" t="s">
        <v>76</v>
      </c>
      <c r="T285" t="s">
        <v>77</v>
      </c>
      <c r="Y285">
        <v>75</v>
      </c>
      <c r="Z285">
        <v>3</v>
      </c>
      <c r="AA285">
        <v>2500</v>
      </c>
      <c r="AB285">
        <v>1</v>
      </c>
      <c r="AC285">
        <v>1</v>
      </c>
      <c r="AD285">
        <v>10</v>
      </c>
      <c r="AE285">
        <v>1</v>
      </c>
      <c r="AF285">
        <v>65</v>
      </c>
      <c r="AG285">
        <v>18</v>
      </c>
      <c r="AH285">
        <v>1000</v>
      </c>
      <c r="AI285">
        <v>1</v>
      </c>
      <c r="BG285">
        <v>10</v>
      </c>
      <c r="BH285">
        <v>1</v>
      </c>
      <c r="BI285">
        <v>65</v>
      </c>
    </row>
    <row r="286" spans="1:61" x14ac:dyDescent="0.3">
      <c r="A286">
        <v>2</v>
      </c>
      <c r="B286" s="1">
        <v>44928</v>
      </c>
      <c r="C286" s="1">
        <v>44995</v>
      </c>
      <c r="D286">
        <v>50</v>
      </c>
      <c r="E286" t="s">
        <v>1118</v>
      </c>
      <c r="F286">
        <v>315</v>
      </c>
      <c r="G286" t="s">
        <v>1306</v>
      </c>
      <c r="H286" t="s">
        <v>1119</v>
      </c>
      <c r="I286" t="s">
        <v>79</v>
      </c>
      <c r="J286" t="s">
        <v>1120</v>
      </c>
      <c r="K286" t="s">
        <v>1121</v>
      </c>
      <c r="L286">
        <v>1</v>
      </c>
      <c r="M286">
        <v>0</v>
      </c>
      <c r="N286">
        <v>1</v>
      </c>
      <c r="O286">
        <v>0</v>
      </c>
      <c r="P286">
        <v>0</v>
      </c>
      <c r="Q286" t="s">
        <v>69</v>
      </c>
      <c r="R286">
        <v>2017</v>
      </c>
      <c r="S286" t="s">
        <v>134</v>
      </c>
      <c r="T286" t="s">
        <v>99</v>
      </c>
      <c r="U286">
        <v>670</v>
      </c>
      <c r="V286">
        <v>80</v>
      </c>
      <c r="X286">
        <v>30</v>
      </c>
      <c r="Y286">
        <v>100</v>
      </c>
      <c r="Z286">
        <v>2</v>
      </c>
      <c r="AA286">
        <v>5000</v>
      </c>
      <c r="AB286">
        <v>1</v>
      </c>
      <c r="AC286">
        <v>1</v>
      </c>
      <c r="AD286">
        <v>100</v>
      </c>
      <c r="AE286">
        <v>2</v>
      </c>
      <c r="AH286">
        <v>5000</v>
      </c>
      <c r="AI286">
        <v>1</v>
      </c>
      <c r="BG286">
        <v>100</v>
      </c>
      <c r="BH286">
        <v>2</v>
      </c>
    </row>
    <row r="287" spans="1:61" x14ac:dyDescent="0.3">
      <c r="A287">
        <v>2</v>
      </c>
      <c r="B287" s="1">
        <v>44928</v>
      </c>
      <c r="C287" s="1">
        <v>44995</v>
      </c>
      <c r="D287">
        <v>50</v>
      </c>
      <c r="E287" t="s">
        <v>1118</v>
      </c>
      <c r="F287">
        <v>316</v>
      </c>
      <c r="G287" t="s">
        <v>1122</v>
      </c>
      <c r="H287" t="s">
        <v>1122</v>
      </c>
      <c r="I287" t="s">
        <v>72</v>
      </c>
      <c r="J287" t="s">
        <v>1123</v>
      </c>
      <c r="K287" t="s">
        <v>1124</v>
      </c>
      <c r="L287">
        <v>1</v>
      </c>
      <c r="M287">
        <v>1</v>
      </c>
      <c r="N287">
        <v>0</v>
      </c>
      <c r="O287">
        <v>0</v>
      </c>
      <c r="P287">
        <v>0</v>
      </c>
      <c r="Q287" t="s">
        <v>69</v>
      </c>
      <c r="R287" t="s">
        <v>1309</v>
      </c>
      <c r="S287" t="s">
        <v>76</v>
      </c>
      <c r="T287" t="s">
        <v>77</v>
      </c>
      <c r="U287">
        <v>-1</v>
      </c>
      <c r="Y287">
        <v>200</v>
      </c>
      <c r="Z287">
        <v>1</v>
      </c>
      <c r="AA287">
        <v>20000</v>
      </c>
      <c r="AB287">
        <v>0</v>
      </c>
    </row>
    <row r="288" spans="1:61" x14ac:dyDescent="0.3">
      <c r="A288">
        <v>2</v>
      </c>
      <c r="B288" s="1">
        <v>44928</v>
      </c>
      <c r="C288" s="1">
        <v>44995</v>
      </c>
      <c r="D288">
        <v>51</v>
      </c>
      <c r="E288" t="s">
        <v>526</v>
      </c>
      <c r="F288">
        <v>317</v>
      </c>
      <c r="G288" t="s">
        <v>1125</v>
      </c>
      <c r="H288" t="s">
        <v>1125</v>
      </c>
      <c r="I288" t="s">
        <v>66</v>
      </c>
      <c r="J288" t="s">
        <v>1126</v>
      </c>
      <c r="K288" t="s">
        <v>1127</v>
      </c>
      <c r="L288">
        <v>2</v>
      </c>
      <c r="M288">
        <v>1</v>
      </c>
      <c r="N288">
        <v>1</v>
      </c>
      <c r="O288">
        <v>0</v>
      </c>
      <c r="P288">
        <v>0</v>
      </c>
      <c r="Q288" t="s">
        <v>69</v>
      </c>
      <c r="R288" t="s">
        <v>1309</v>
      </c>
      <c r="S288" t="s">
        <v>86</v>
      </c>
      <c r="T288" t="s">
        <v>87</v>
      </c>
      <c r="U288">
        <v>-1</v>
      </c>
      <c r="V288">
        <v>270</v>
      </c>
      <c r="Y288">
        <v>90</v>
      </c>
      <c r="Z288">
        <v>0.5</v>
      </c>
      <c r="AA288">
        <v>18000</v>
      </c>
      <c r="AB288">
        <v>1</v>
      </c>
      <c r="AC288">
        <v>0</v>
      </c>
    </row>
    <row r="289" spans="1:65" x14ac:dyDescent="0.3">
      <c r="A289">
        <v>2</v>
      </c>
      <c r="B289" s="1">
        <v>44928</v>
      </c>
      <c r="C289" s="1">
        <v>44995</v>
      </c>
      <c r="D289">
        <v>51</v>
      </c>
      <c r="E289" t="s">
        <v>526</v>
      </c>
      <c r="F289">
        <v>318</v>
      </c>
      <c r="G289" t="s">
        <v>1128</v>
      </c>
      <c r="H289" t="s">
        <v>1128</v>
      </c>
      <c r="I289" t="s">
        <v>79</v>
      </c>
      <c r="J289" t="s">
        <v>1129</v>
      </c>
      <c r="K289" t="s">
        <v>1130</v>
      </c>
      <c r="L289">
        <v>2</v>
      </c>
      <c r="M289">
        <v>1</v>
      </c>
      <c r="N289">
        <v>1</v>
      </c>
      <c r="O289">
        <v>0</v>
      </c>
      <c r="P289">
        <v>1</v>
      </c>
      <c r="Q289" t="s">
        <v>69</v>
      </c>
      <c r="R289" t="s">
        <v>1309</v>
      </c>
      <c r="S289" t="s">
        <v>134</v>
      </c>
      <c r="T289" t="s">
        <v>99</v>
      </c>
      <c r="U289">
        <v>-1</v>
      </c>
      <c r="Y289">
        <v>150</v>
      </c>
      <c r="Z289">
        <v>0.5</v>
      </c>
      <c r="AA289">
        <v>30000</v>
      </c>
      <c r="AB289">
        <v>1</v>
      </c>
      <c r="AC289">
        <v>1</v>
      </c>
      <c r="AD289">
        <v>81</v>
      </c>
      <c r="AE289">
        <v>1</v>
      </c>
      <c r="AF289">
        <v>69</v>
      </c>
      <c r="AG289">
        <v>12</v>
      </c>
      <c r="AH289">
        <v>8100</v>
      </c>
      <c r="AI289">
        <v>2</v>
      </c>
      <c r="AX289">
        <v>40.5</v>
      </c>
      <c r="AY289">
        <v>0.5</v>
      </c>
      <c r="AZ289">
        <v>34.5</v>
      </c>
      <c r="BJ289">
        <v>40.5</v>
      </c>
      <c r="BK289">
        <v>0.5</v>
      </c>
      <c r="BL289">
        <v>34.5</v>
      </c>
      <c r="BM289" t="s">
        <v>1131</v>
      </c>
    </row>
    <row r="290" spans="1:65" x14ac:dyDescent="0.3">
      <c r="A290">
        <v>2</v>
      </c>
      <c r="B290" s="1">
        <v>44928</v>
      </c>
      <c r="C290" s="1">
        <v>44995</v>
      </c>
      <c r="D290">
        <v>51</v>
      </c>
      <c r="E290" t="s">
        <v>526</v>
      </c>
      <c r="F290">
        <v>319</v>
      </c>
      <c r="G290" t="s">
        <v>1307</v>
      </c>
      <c r="H290" t="s">
        <v>1132</v>
      </c>
      <c r="I290" t="s">
        <v>597</v>
      </c>
      <c r="J290" t="s">
        <v>1133</v>
      </c>
      <c r="K290" t="s">
        <v>1134</v>
      </c>
      <c r="L290">
        <v>2</v>
      </c>
      <c r="M290">
        <v>1</v>
      </c>
      <c r="N290">
        <v>1</v>
      </c>
      <c r="O290">
        <v>0</v>
      </c>
      <c r="P290">
        <v>1</v>
      </c>
      <c r="Q290" t="s">
        <v>69</v>
      </c>
      <c r="R290">
        <v>2017</v>
      </c>
      <c r="S290" t="s">
        <v>1135</v>
      </c>
      <c r="T290" t="s">
        <v>1136</v>
      </c>
      <c r="W290">
        <v>50</v>
      </c>
      <c r="X290">
        <v>18</v>
      </c>
      <c r="Y290">
        <v>75</v>
      </c>
      <c r="Z290">
        <v>2.5</v>
      </c>
      <c r="AA290">
        <v>3000</v>
      </c>
      <c r="AB290">
        <v>1</v>
      </c>
      <c r="AC290">
        <v>1</v>
      </c>
      <c r="AD290">
        <v>50</v>
      </c>
      <c r="AE290">
        <v>5</v>
      </c>
      <c r="AF290">
        <v>25</v>
      </c>
      <c r="AG290">
        <v>10</v>
      </c>
      <c r="AH290">
        <v>1000</v>
      </c>
      <c r="AI290">
        <v>2</v>
      </c>
      <c r="AU290">
        <v>25</v>
      </c>
      <c r="AV290">
        <v>2.5</v>
      </c>
      <c r="AW290">
        <v>12.5</v>
      </c>
      <c r="BJ290">
        <v>25</v>
      </c>
      <c r="BK290">
        <v>2.5</v>
      </c>
      <c r="BL290">
        <v>12.5</v>
      </c>
      <c r="BM290" t="s">
        <v>1131</v>
      </c>
    </row>
    <row r="291" spans="1:65" x14ac:dyDescent="0.3">
      <c r="A291">
        <v>2</v>
      </c>
      <c r="B291" s="1">
        <v>44928</v>
      </c>
      <c r="C291" s="1">
        <v>44995</v>
      </c>
      <c r="D291">
        <v>51</v>
      </c>
      <c r="E291" t="s">
        <v>526</v>
      </c>
      <c r="F291">
        <v>320</v>
      </c>
      <c r="G291" t="s">
        <v>1308</v>
      </c>
      <c r="H291" t="s">
        <v>1137</v>
      </c>
      <c r="I291" t="s">
        <v>79</v>
      </c>
      <c r="J291" t="s">
        <v>1138</v>
      </c>
      <c r="K291" t="s">
        <v>1139</v>
      </c>
      <c r="L291">
        <v>2</v>
      </c>
      <c r="M291">
        <v>1</v>
      </c>
      <c r="N291">
        <v>1</v>
      </c>
      <c r="O291">
        <v>0</v>
      </c>
      <c r="Q291" t="s">
        <v>69</v>
      </c>
      <c r="R291" t="s">
        <v>1309</v>
      </c>
      <c r="S291" t="s">
        <v>70</v>
      </c>
      <c r="T291" t="s">
        <v>70</v>
      </c>
      <c r="U291">
        <v>1400</v>
      </c>
      <c r="V291">
        <v>46</v>
      </c>
      <c r="X291">
        <v>18</v>
      </c>
      <c r="Y291">
        <v>80</v>
      </c>
      <c r="Z291">
        <v>2</v>
      </c>
      <c r="AA291">
        <v>4000</v>
      </c>
      <c r="AB291">
        <v>1</v>
      </c>
      <c r="AC291">
        <v>1</v>
      </c>
      <c r="AD291">
        <v>80</v>
      </c>
      <c r="AE291">
        <v>10</v>
      </c>
      <c r="AH291">
        <v>800</v>
      </c>
      <c r="AI291">
        <v>1</v>
      </c>
      <c r="BG291">
        <v>80</v>
      </c>
      <c r="BH29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12BBF4-2817-4142-91ED-87199BC63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shark_tank (2)</vt:lpstr>
      <vt:lpstr>shark_tank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Vanshika Sethi</cp:lastModifiedBy>
  <dcterms:created xsi:type="dcterms:W3CDTF">2026-02-28T11:34:23Z</dcterms:created>
  <dcterms:modified xsi:type="dcterms:W3CDTF">2026-03-03T09:14:53Z</dcterms:modified>
</cp:coreProperties>
</file>